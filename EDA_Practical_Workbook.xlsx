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5d6c031c8713997/Desktop/"/>
    </mc:Choice>
  </mc:AlternateContent>
  <xr:revisionPtr revIDLastSave="106" documentId="13_ncr:1_{C3F643D7-8032-4392-9926-768E9557A8F2}" xr6:coauthVersionLast="47" xr6:coauthVersionMax="47" xr10:uidLastSave="{3E15F939-5249-4B86-89D0-5B5A6574B1AA}"/>
  <bookViews>
    <workbookView xWindow="-108" yWindow="-108" windowWidth="23256" windowHeight="12456" tabRatio="989" activeTab="1" xr2:uid="{00000000-000D-0000-FFFF-FFFF00000000}"/>
  </bookViews>
  <sheets>
    <sheet name="Read Me" sheetId="1" r:id="rId1"/>
    <sheet name="Raw Dataset" sheetId="2" r:id="rId2"/>
    <sheet name="Data Quality Checks" sheetId="3" r:id="rId3"/>
    <sheet name="Descriptive Statistics" sheetId="4" r:id="rId4"/>
    <sheet name="Univariate Analysis" sheetId="6" r:id="rId5"/>
    <sheet name="Charts and Dashboard" sheetId="8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6" l="1"/>
  <c r="C9" i="6"/>
  <c r="M44" i="8"/>
  <c r="K44" i="8"/>
  <c r="B37" i="6"/>
  <c r="C44" i="6"/>
  <c r="F24" i="6"/>
  <c r="E19" i="6"/>
  <c r="D19" i="6"/>
  <c r="D20" i="6"/>
  <c r="C11" i="6"/>
  <c r="C10" i="6"/>
  <c r="K45" i="8"/>
  <c r="B5" i="4"/>
  <c r="B4" i="4"/>
  <c r="O46" i="8" l="1"/>
  <c r="M46" i="8"/>
  <c r="K46" i="8"/>
  <c r="O45" i="8"/>
  <c r="M45" i="8"/>
  <c r="O44" i="8"/>
  <c r="J49" i="8"/>
  <c r="B55" i="6"/>
  <c r="C55" i="6" s="1"/>
  <c r="A55" i="6"/>
  <c r="B54" i="6"/>
  <c r="C54" i="6" s="1"/>
  <c r="A54" i="6"/>
  <c r="C53" i="6"/>
  <c r="B53" i="6"/>
  <c r="A53" i="6"/>
  <c r="B52" i="6"/>
  <c r="A52" i="6"/>
  <c r="C51" i="6"/>
  <c r="B51" i="6"/>
  <c r="A51" i="6"/>
  <c r="B50" i="6"/>
  <c r="C50" i="6" s="1"/>
  <c r="A50" i="6"/>
  <c r="B49" i="6"/>
  <c r="C49" i="6" s="1"/>
  <c r="A49" i="6"/>
  <c r="B48" i="6"/>
  <c r="A48" i="6"/>
  <c r="B47" i="6"/>
  <c r="C47" i="6" s="1"/>
  <c r="A47" i="6"/>
  <c r="B46" i="6"/>
  <c r="C46" i="6" s="1"/>
  <c r="A46" i="6"/>
  <c r="B45" i="6"/>
  <c r="C45" i="6" s="1"/>
  <c r="A45" i="6"/>
  <c r="B44" i="6"/>
  <c r="A44" i="6"/>
  <c r="C24" i="6"/>
  <c r="D24" i="6" s="1"/>
  <c r="B24" i="6"/>
  <c r="A24" i="6"/>
  <c r="B23" i="6"/>
  <c r="C22" i="6"/>
  <c r="A22" i="6" s="1"/>
  <c r="B22" i="6"/>
  <c r="D22" i="6" s="1"/>
  <c r="B21" i="6"/>
  <c r="C21" i="6" s="1"/>
  <c r="C20" i="6"/>
  <c r="B20" i="6"/>
  <c r="A20" i="6"/>
  <c r="B19" i="6"/>
  <c r="F11" i="6"/>
  <c r="B11" i="6"/>
  <c r="F10" i="6"/>
  <c r="B10" i="6"/>
  <c r="F9" i="6"/>
  <c r="B9" i="6"/>
  <c r="B15" i="4"/>
  <c r="B14" i="4"/>
  <c r="B13" i="4"/>
  <c r="B11" i="4"/>
  <c r="B10" i="4"/>
  <c r="B8" i="4"/>
  <c r="B7" i="4"/>
  <c r="B6" i="4"/>
  <c r="B13" i="3"/>
  <c r="D13" i="3" s="1"/>
  <c r="B12" i="3"/>
  <c r="D12" i="3" s="1"/>
  <c r="B11" i="3"/>
  <c r="D11" i="3" s="1"/>
  <c r="B10" i="3"/>
  <c r="D10" i="3" s="1"/>
  <c r="B9" i="3"/>
  <c r="D9" i="3" s="1"/>
  <c r="B8" i="3"/>
  <c r="D8" i="3" s="1"/>
  <c r="B7" i="3"/>
  <c r="D7" i="3" s="1"/>
  <c r="B6" i="3"/>
  <c r="D6" i="3" s="1"/>
  <c r="B5" i="3"/>
  <c r="D5" i="3" s="1"/>
  <c r="B4" i="3"/>
  <c r="D4" i="3" s="1"/>
  <c r="B12" i="4" l="1"/>
  <c r="B15" i="3"/>
  <c r="B35" i="6"/>
  <c r="C12" i="6"/>
  <c r="B31" i="6"/>
  <c r="B9" i="4"/>
  <c r="B33" i="6" s="1"/>
  <c r="B16" i="4"/>
  <c r="B36" i="6" s="1"/>
  <c r="B30" i="6"/>
  <c r="H22" i="6"/>
  <c r="H24" i="6"/>
  <c r="B34" i="6"/>
  <c r="A19" i="6"/>
  <c r="H20" i="6"/>
  <c r="D21" i="6"/>
  <c r="C19" i="6"/>
  <c r="A21" i="6"/>
  <c r="C23" i="6"/>
  <c r="D23" i="6" s="1"/>
  <c r="C48" i="6"/>
  <c r="C52" i="6"/>
  <c r="B17" i="4" l="1"/>
  <c r="B18" i="4"/>
  <c r="C30" i="6"/>
  <c r="F12" i="6"/>
  <c r="D10" i="6"/>
  <c r="B32" i="6"/>
  <c r="D11" i="6"/>
  <c r="A23" i="6"/>
  <c r="D53" i="6"/>
  <c r="D50" i="6"/>
  <c r="B20" i="4"/>
  <c r="D52" i="6"/>
  <c r="D48" i="6"/>
  <c r="D44" i="6"/>
  <c r="D55" i="6"/>
  <c r="D51" i="6"/>
  <c r="D47" i="6"/>
  <c r="B38" i="6"/>
  <c r="B19" i="4"/>
  <c r="D49" i="6"/>
  <c r="D25" i="6"/>
  <c r="H19" i="6"/>
  <c r="D46" i="6"/>
  <c r="D45" i="6"/>
  <c r="H23" i="6"/>
  <c r="H21" i="6"/>
  <c r="E23" i="6" l="1"/>
  <c r="E21" i="6"/>
  <c r="D54" i="6"/>
  <c r="D12" i="6"/>
  <c r="H25" i="6"/>
  <c r="F20" i="6"/>
  <c r="F21" i="6"/>
  <c r="F22" i="6"/>
  <c r="F23" i="6"/>
  <c r="F19" i="6"/>
  <c r="E22" i="6"/>
  <c r="E20" i="6"/>
  <c r="E24" i="6"/>
  <c r="B39" i="6"/>
  <c r="E25" i="6" l="1"/>
</calcChain>
</file>

<file path=xl/sharedStrings.xml><?xml version="1.0" encoding="utf-8"?>
<sst xmlns="http://schemas.openxmlformats.org/spreadsheetml/2006/main" count="204" uniqueCount="182">
  <si>
    <t>Exploratory Data Analysis (EDA): Practical Workbook</t>
  </si>
  <si>
    <t>Purpose</t>
  </si>
  <si>
    <t>Explore 12 months of retail sales before forecasting: seasonal pattern, relationship between advertising and sales, unusual observations, descriptive statistics, data quality, and business insights.</t>
  </si>
  <si>
    <t>Scenario</t>
  </si>
  <si>
    <t>Dataset period</t>
  </si>
  <si>
    <t>Source of truth</t>
  </si>
  <si>
    <t>Correlation vs causation</t>
  </si>
  <si>
    <t>A strong correlation between advertising and sales shows association only. It does not prove advertising causes higher sales; festivals, pricing, offers and stock may influence both.</t>
  </si>
  <si>
    <t>Variables</t>
  </si>
  <si>
    <t>Variable</t>
  </si>
  <si>
    <t>Unit</t>
  </si>
  <si>
    <t>Data type</t>
  </si>
  <si>
    <t>Month</t>
  </si>
  <si>
    <t>April to March</t>
  </si>
  <si>
    <t>Time label (text)</t>
  </si>
  <si>
    <t>Advertising</t>
  </si>
  <si>
    <t>₹ thousand</t>
  </si>
  <si>
    <t>Continuous (numeric)</t>
  </si>
  <si>
    <t>Sales</t>
  </si>
  <si>
    <t>₹ lakh</t>
  </si>
  <si>
    <t>Orders</t>
  </si>
  <si>
    <t>Number</t>
  </si>
  <si>
    <t>Discrete (numeric)</t>
  </si>
  <si>
    <t>Data Quality Checks</t>
  </si>
  <si>
    <t>Advertising (₹ thousand)</t>
  </si>
  <si>
    <t>Sales (₹ lakh)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</si>
  <si>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</si>
  <si>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</si>
  <si>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</si>
  <si>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</si>
  <si>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</si>
  <si>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</si>
  <si>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</si>
  <si>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</si>
  <si>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</si>
  <si>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</si>
  <si>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</si>
  <si>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</si>
  <si>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Check</t>
  </si>
  <si>
    <t>Formula result</t>
  </si>
  <si>
    <t>Expected</t>
  </si>
  <si>
    <t>Status</t>
  </si>
  <si>
    <t>Excel formula used</t>
  </si>
  <si>
    <t>Interpretation</t>
  </si>
  <si>
    <t>Number of monthly records</t>
  </si>
  <si>
    <t>=COUNTA(A2:A13)</t>
  </si>
  <si>
    <t>12 months, April to March.</t>
  </si>
  <si>
    <t>Blank cells in numeric columns</t>
  </si>
  <si>
    <t>=COUNTBLANK(B2:D13)</t>
  </si>
  <si>
    <t>No missing advertising, sales or order values.</t>
  </si>
  <si>
    <t>Blank month labels</t>
  </si>
  <si>
    <t>=COUNTBLANK(A2:A13)</t>
  </si>
  <si>
    <t>Every record has a month label.</t>
  </si>
  <si>
    <t>Numeric advertising entries</t>
  </si>
  <si>
    <t>=COUNT(B2:B13)</t>
  </si>
  <si>
    <t>All advertising values are stored as numbers.</t>
  </si>
  <si>
    <t>Numeric sales entries</t>
  </si>
  <si>
    <t>=COUNT(C2:C13)</t>
  </si>
  <si>
    <t>All sales values are stored as numbers.</t>
  </si>
  <si>
    <t>Numeric order entries</t>
  </si>
  <si>
    <t>=COUNT(D2:D13)</t>
  </si>
  <si>
    <t>All order counts are stored as numbers.</t>
  </si>
  <si>
    <t>Duplicate month labels</t>
  </si>
  <si>
    <t>=SUMPRODUCT(--(COUNTIF(A2:A13,A2:A13)&gt;1))</t>
  </si>
  <si>
    <t>Each month appears once.</t>
  </si>
  <si>
    <t>Duplicate complete records</t>
  </si>
  <si>
    <t>=SUMPRODUCT(--(COUNTIFS(A2:A13,A2:A13,B2:B13,B2:B13,C2:C13,C2:C13,D2:D13,D2:D13)&gt;1))</t>
  </si>
  <si>
    <t>No duplicate rows.</t>
  </si>
  <si>
    <t>Advertising values &gt; 0</t>
  </si>
  <si>
    <t>=COUNTIF(B2:B13,"&gt;0")</t>
  </si>
  <si>
    <t>All advertising values are positive.</t>
  </si>
  <si>
    <t>Sales values &gt; 0</t>
  </si>
  <si>
    <t>=COUNTIF(C2:C13,"&gt;0")</t>
  </si>
  <si>
    <t>All sales values are positive.</t>
  </si>
  <si>
    <t>OVERALL DATA QUALITY</t>
  </si>
  <si>
    <t>Descriptive Statistics: Monthly Sales (₹ lakh)</t>
  </si>
  <si>
    <t>Statistic</t>
  </si>
  <si>
    <t>Value</t>
  </si>
  <si>
    <t>PPT reference</t>
  </si>
  <si>
    <t>Business interpretation</t>
  </si>
  <si>
    <t>Count (numeric sales entries)</t>
  </si>
  <si>
    <t>All 12 months have numeric sales.</t>
  </si>
  <si>
    <t>Mean</t>
  </si>
  <si>
    <t>=AVERAGE(C2:C13)</t>
  </si>
  <si>
    <t>Typical month, but pulled upward by the festive peak.</t>
  </si>
  <si>
    <t>Median</t>
  </si>
  <si>
    <t>=MEDIAN(C2:C13)</t>
  </si>
  <si>
    <t>A more typical month; mean &gt; median indicates right skew.</t>
  </si>
  <si>
    <t>Minimum</t>
  </si>
  <si>
    <t>=MIN(C2:C13)</t>
  </si>
  <si>
    <t>Weakest month; a planning floor for cash flow.</t>
  </si>
  <si>
    <t>Maximum</t>
  </si>
  <si>
    <t>=MAX(C2:C13)</t>
  </si>
  <si>
    <t>Peak demand; check stock and staffing capacity.</t>
  </si>
  <si>
    <t>Range (Max - Min)</t>
  </si>
  <si>
    <t>=MAX-MIN</t>
  </si>
  <si>
    <t>Gap between best and weakest month.</t>
  </si>
  <si>
    <t>First quartile (Q1)</t>
  </si>
  <si>
    <t>=QUARTILE.INC(C2:C13,1)</t>
  </si>
  <si>
    <t>25% of months sell below this level.</t>
  </si>
  <si>
    <t>Third quartile (Q3)</t>
  </si>
  <si>
    <t>=QUARTILE.INC(C2:C13,3)</t>
  </si>
  <si>
    <t>75% of months sell below this level.</t>
  </si>
  <si>
    <t>Interquartile range (IQR)</t>
  </si>
  <si>
    <t>=Q3-Q1</t>
  </si>
  <si>
    <t>Spread of the middle 50% of months; robust to the peak.</t>
  </si>
  <si>
    <t>Sample variance</t>
  </si>
  <si>
    <t>=VAR.S(C2:C13)</t>
  </si>
  <si>
    <t>Squared ₹ lakh; used to derive the standard deviation.</t>
  </si>
  <si>
    <t>Sample standard deviation</t>
  </si>
  <si>
    <t>=STDEV.S(C2:C13)</t>
  </si>
  <si>
    <t>Months typically differ from the mean by about ₹7.5 lakh.</t>
  </si>
  <si>
    <t>Population standard deviation</t>
  </si>
  <si>
    <t>=STDEV.P(C2:C13)</t>
  </si>
  <si>
    <t>Shown for comparison; the deck uses the sample version (12 months = a sample).</t>
  </si>
  <si>
    <t>Coefficient of variation (%)</t>
  </si>
  <si>
    <t>=STDEV.S/AVERAGE*100</t>
  </si>
  <si>
    <t>Variability is about 30.7% of the mean: moderately high.</t>
  </si>
  <si>
    <t>Lower outlier fence</t>
  </si>
  <si>
    <t>=Q1-1.5*IQR</t>
  </si>
  <si>
    <t>Values below this would be flagged.</t>
  </si>
  <si>
    <t>Upper outlier fence</t>
  </si>
  <si>
    <t>=Q3+1.5*IQR</t>
  </si>
  <si>
    <t>Values above this are flagged for investigation.</t>
  </si>
  <si>
    <t>Observations flagged as potential outliers</t>
  </si>
  <si>
    <t>=COUNTIF(&gt;UF)+COUNTIF(&lt;LF)</t>
  </si>
  <si>
    <t>Only one of 12 months is flagged.</t>
  </si>
  <si>
    <t>Flagged month (if any, above upper fence)</t>
  </si>
  <si>
    <t>=IF(COUNTIF(&gt;UF)&gt;0,month of MAX,"None")</t>
  </si>
  <si>
    <t>November: a flag for investigation, not a reason to delete.</t>
  </si>
  <si>
    <t>Measure</t>
  </si>
  <si>
    <t>Univariate Analysis: Monthly Sales (₹ lakh)</t>
  </si>
  <si>
    <t>All counts are formulas on 'Raw Dataset'!C2:C13. Blue cells are adjustable thresholds / reference values.</t>
  </si>
  <si>
    <t>A. Sales bands</t>
  </si>
  <si>
    <t>Low / Medium threshold (₹ lakh)</t>
  </si>
  <si>
    <t>Medium / High threshold (₹ lakh)</t>
  </si>
  <si>
    <t>Band</t>
  </si>
  <si>
    <t>Definition</t>
  </si>
  <si>
    <t>Months</t>
  </si>
  <si>
    <t>% of months</t>
  </si>
  <si>
    <t>Low</t>
  </si>
  <si>
    <t>Medium</t>
  </si>
  <si>
    <t>High</t>
  </si>
  <si>
    <t>Total</t>
  </si>
  <si>
    <t>B. Frequency table (histogram bins of ₹ 5 lakh)</t>
  </si>
  <si>
    <t>First bin lower limit (₹ lakh)</t>
  </si>
  <si>
    <t>Bin width (₹ lakh)</t>
  </si>
  <si>
    <t>Bin (₹ lakh)</t>
  </si>
  <si>
    <t>Lower (inclusive)</t>
  </si>
  <si>
    <t>Upper (exclusive)</t>
  </si>
  <si>
    <t>Frequency (months)</t>
  </si>
  <si>
    <t>Cumulative %</t>
  </si>
  <si>
    <t>Bins are lower-inclusive, upper-exclusive (e.g. 20.0 belongs to 20–25), matching the slide-24 histogram counts 3, 6, 1, 1, 0, 1.</t>
  </si>
  <si>
    <t>C. Centre and spread</t>
  </si>
  <si>
    <t>Reading</t>
  </si>
  <si>
    <t>Mean (₹ lakh)</t>
  </si>
  <si>
    <t>Median (₹ lakh)</t>
  </si>
  <si>
    <t>Middle month; less affected by extremes.</t>
  </si>
  <si>
    <t>Mean minus median (₹ lakh)</t>
  </si>
  <si>
    <t>Positive gap signals the influence of high values.</t>
  </si>
  <si>
    <t>Range (₹ lakh)</t>
  </si>
  <si>
    <t>Highest minus lowest month.</t>
  </si>
  <si>
    <t>IQR (₹ lakh)</t>
  </si>
  <si>
    <t>Spread of the central 50% of months.</t>
  </si>
  <si>
    <t>Sample standard deviation (₹ lakh)</t>
  </si>
  <si>
    <t>Typical distance from the mean.</t>
  </si>
  <si>
    <t>Relative variability: SD / mean.</t>
  </si>
  <si>
    <t>Lower fence (₹ lakh)</t>
  </si>
  <si>
    <t>Q1 - 1.5 x IQR.</t>
  </si>
  <si>
    <t>Upper fence (₹ lakh)</t>
  </si>
  <si>
    <t>Q3 + 1.5 x IQR.</t>
  </si>
  <si>
    <t>Potential outliers (count)</t>
  </si>
  <si>
    <t>Flags for investigation, not for deletion.</t>
  </si>
  <si>
    <t>D. Month-by-month classification and outlier identification</t>
  </si>
  <si>
    <t>Outlier flag</t>
  </si>
  <si>
    <t>Correlation matrix / heatmap (Pearson r)</t>
  </si>
  <si>
    <t>Darker blue = stronger positive correlation (scale 0 to 1).</t>
  </si>
  <si>
    <t xml:space="preserve">Raw Dataset  A1:D13 </t>
  </si>
  <si>
    <t>April to March (12 months, financial-year order).</t>
  </si>
  <si>
    <t>A retail business reviews monthly performance over one financial year (April to March).</t>
  </si>
  <si>
    <t>Charts and Dashboard: Retail EDA</t>
  </si>
  <si>
    <t>right-skewness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</si>
</sst>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27" x14ac:knownFonts="1">
    <font>
      <sz val="10"/>
      <name val="Arial"/>
      <charset val="1"/>
    </font>
    <font>
      <b/>
      <sz val="15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2"/>
      <color rgb="FF000000"/>
      <name val="Arial"/>
      <family val="2"/>
    </font>
    <font>
      <b/>
      <sz val="11"/>
      <color rgb="FFFFFFFF"/>
      <name val="Arial"/>
      <family val="2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rgb="FF0000FF"/>
      <name val="Times New Roman"/>
      <family val="1"/>
    </font>
    <font>
      <b/>
      <sz val="16"/>
      <color rgb="FF000000"/>
      <name val="Times New Roman"/>
      <family val="1"/>
    </font>
    <font>
      <sz val="16"/>
      <color rgb="FF595959"/>
      <name val="Times New Roman"/>
      <family val="1"/>
    </font>
    <font>
      <b/>
      <sz val="12"/>
      <color rgb="FFFFFFFF"/>
      <name val="Times New Roman"/>
      <family val="1"/>
    </font>
    <font>
      <b/>
      <sz val="16"/>
      <color rgb="FF1F3864"/>
      <name val="Times New Roman"/>
      <family val="1"/>
    </font>
    <font>
      <b/>
      <sz val="22"/>
      <color rgb="FF1F3864"/>
      <name val="Times New Roman"/>
      <family val="1"/>
    </font>
    <font>
      <b/>
      <sz val="24"/>
      <color theme="9" tint="-0.249977111117893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b/>
      <sz val="16"/>
      <color rgb="FFFFFFFF"/>
      <name val="Times New Roman"/>
      <family val="1"/>
    </font>
    <font>
      <b/>
      <sz val="22"/>
      <color rgb="FF1F3864"/>
      <name val="Arial"/>
      <family val="2"/>
    </font>
    <font>
      <b/>
      <sz val="18"/>
      <color rgb="FFFFFFFF"/>
      <name val="Times New Roman"/>
      <family val="1"/>
    </font>
    <font>
      <sz val="18"/>
      <color theme="1"/>
      <name val="Times New Roman"/>
      <family val="1"/>
    </font>
    <font>
      <b/>
      <sz val="20"/>
      <color rgb="FF60A500"/>
      <name val="Aharoni"/>
      <charset val="177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FEB9C"/>
      </patternFill>
    </fill>
    <fill>
      <patternFill patternType="solid">
        <fgColor rgb="FF45D505"/>
        <bgColor rgb="FF333333"/>
      </patternFill>
    </fill>
    <fill>
      <patternFill patternType="solid">
        <fgColor rgb="FF60A500"/>
        <bgColor rgb="FF333333"/>
      </patternFill>
    </fill>
    <fill>
      <patternFill patternType="solid">
        <fgColor rgb="FFC88800"/>
        <bgColor rgb="FFDDEBF7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rgb="FFDDEBF7"/>
      </patternFill>
    </fill>
    <fill>
      <patternFill patternType="solid">
        <fgColor theme="9" tint="0.79998168889431442"/>
        <bgColor rgb="FFDDEBF7"/>
      </patternFill>
    </fill>
    <fill>
      <patternFill patternType="solid">
        <fgColor rgb="FF26AF23"/>
        <bgColor rgb="FF333333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1" fontId="11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21" fillId="6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2" fontId="19" fillId="0" borderId="1" xfId="0" applyNumberFormat="1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vertical="center"/>
    </xf>
    <xf numFmtId="1" fontId="19" fillId="8" borderId="1" xfId="0" applyNumberFormat="1" applyFont="1" applyFill="1" applyBorder="1" applyAlignment="1">
      <alignment horizontal="center" vertical="center"/>
    </xf>
    <xf numFmtId="2" fontId="19" fillId="8" borderId="1" xfId="0" applyNumberFormat="1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1" fontId="3" fillId="10" borderId="1" xfId="0" applyNumberFormat="1" applyFont="1" applyFill="1" applyBorder="1" applyAlignment="1">
      <alignment horizontal="center" vertical="center"/>
    </xf>
    <xf numFmtId="166" fontId="3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26" fillId="0" borderId="0" xfId="0" applyFont="1"/>
    <xf numFmtId="0" fontId="26" fillId="0" borderId="0" xfId="0" applyFont="1" applyAlignment="1">
      <alignment vertical="center"/>
    </xf>
    <xf numFmtId="0" fontId="4" fillId="9" borderId="1" xfId="0" applyFont="1" applyFill="1" applyBorder="1" applyAlignment="1">
      <alignment vertical="center"/>
    </xf>
    <xf numFmtId="1" fontId="3" fillId="9" borderId="1" xfId="0" applyNumberFormat="1" applyFont="1" applyFill="1" applyBorder="1" applyAlignment="1">
      <alignment horizontal="center" vertical="center"/>
    </xf>
    <xf numFmtId="166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2" fontId="8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B9C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2F2F2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FF99"/>
      <rgbColor rgb="FF9DC3E6"/>
      <rgbColor rgb="FFFF99CC"/>
      <rgbColor rgb="FFCC99FF"/>
      <rgbColor rgb="FFFFC7CE"/>
      <rgbColor rgb="FF4A7EBB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6AF23"/>
      <color rgb="FFFFFFFF"/>
      <color rgb="FF45D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 (Apr–Mar): festive peak Oct–Dec; Nov highlighted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Dataset'!$C$1</c:f>
              <c:strCache>
                <c:ptCount val="1"/>
                <c:pt idx="0">
                  <c:v>Sales (₹ lakh)</c:v>
                </c:pt>
              </c:strCache>
            </c:strRef>
          </c:tx>
          <c:spPr>
            <a:ln w="21960">
              <a:solidFill>
                <a:srgbClr val="2F5597"/>
              </a:solidFill>
              <a:round/>
            </a:ln>
          </c:spPr>
          <c:marker>
            <c:symbol val="circle"/>
            <c:size val="7"/>
            <c:spPr>
              <a:solidFill>
                <a:srgbClr val="2F5597"/>
              </a:solidFill>
            </c:spPr>
          </c:marker>
          <c:dPt>
            <c:idx val="7"/>
            <c:marker>
              <c:symbol val="circle"/>
              <c:size val="12"/>
              <c:spPr>
                <a:solidFill>
                  <a:srgbClr val="4A7EBB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FF7-4DFA-881B-67B8FBEDAF62}"/>
              </c:ext>
            </c:extLst>
          </c:dPt>
          <c:dLbls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FF7-4DFA-881B-67B8FBEDAF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Dataset'!$A$2:$A$13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'Raw Dataset'!$C$2:$C$13</c:f>
              <c:numCache>
                <c:formatCode>0.0</c:formatCode>
                <c:ptCount val="12"/>
                <c:pt idx="0">
                  <c:v>18.2</c:v>
                </c:pt>
                <c:pt idx="1">
                  <c:v>19.5</c:v>
                </c:pt>
                <c:pt idx="2">
                  <c:v>17.899999999999999</c:v>
                </c:pt>
                <c:pt idx="3">
                  <c:v>20.8</c:v>
                </c:pt>
                <c:pt idx="4">
                  <c:v>21.5</c:v>
                </c:pt>
                <c:pt idx="5">
                  <c:v>23</c:v>
                </c:pt>
                <c:pt idx="6">
                  <c:v>31.5</c:v>
                </c:pt>
                <c:pt idx="7">
                  <c:v>44.8</c:v>
                </c:pt>
                <c:pt idx="8">
                  <c:v>27.6</c:v>
                </c:pt>
                <c:pt idx="9">
                  <c:v>22.4</c:v>
                </c:pt>
                <c:pt idx="10">
                  <c:v>21.2</c:v>
                </c:pt>
                <c:pt idx="11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F7-4DFA-881B-67B8FBEDA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890006"/>
        <c:axId val="37594279"/>
      </c:lineChart>
      <c:catAx>
        <c:axId val="208900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 (financial year)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94279"/>
        <c:crosses val="autoZero"/>
        <c:auto val="1"/>
        <c:lblAlgn val="ctr"/>
        <c:lblOffset val="100"/>
        <c:noMultiLvlLbl val="0"/>
      </c:catAx>
      <c:valAx>
        <c:axId val="3759427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Revenue (₹ lakh)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8900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Comparison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Dataset'!$C$1</c:f>
              <c:strCache>
                <c:ptCount val="1"/>
                <c:pt idx="0">
                  <c:v>Sales (₹ lakh)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Pt>
            <c:idx val="7"/>
            <c:invertIfNegative val="0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197-40A1-99A2-C127855A134C}"/>
              </c:ext>
            </c:extLst>
          </c:dPt>
          <c:dLbls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97-40A1-99A2-C127855A13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Dataset'!$A$2:$A$13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'Raw Dataset'!$C$2:$C$13</c:f>
              <c:numCache>
                <c:formatCode>0.0</c:formatCode>
                <c:ptCount val="12"/>
                <c:pt idx="0">
                  <c:v>18.2</c:v>
                </c:pt>
                <c:pt idx="1">
                  <c:v>19.5</c:v>
                </c:pt>
                <c:pt idx="2">
                  <c:v>17.899999999999999</c:v>
                </c:pt>
                <c:pt idx="3">
                  <c:v>20.8</c:v>
                </c:pt>
                <c:pt idx="4">
                  <c:v>21.5</c:v>
                </c:pt>
                <c:pt idx="5">
                  <c:v>23</c:v>
                </c:pt>
                <c:pt idx="6">
                  <c:v>31.5</c:v>
                </c:pt>
                <c:pt idx="7">
                  <c:v>44.8</c:v>
                </c:pt>
                <c:pt idx="8">
                  <c:v>27.6</c:v>
                </c:pt>
                <c:pt idx="9">
                  <c:v>22.4</c:v>
                </c:pt>
                <c:pt idx="10">
                  <c:v>21.2</c:v>
                </c:pt>
                <c:pt idx="11">
                  <c:v>24.6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97-40A1-99A2-C127855A1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0898455"/>
        <c:axId val="1842208"/>
      </c:barChart>
      <c:catAx>
        <c:axId val="80898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 (financial year)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42208"/>
        <c:crosses val="autoZero"/>
        <c:auto val="1"/>
        <c:lblAlgn val="ctr"/>
        <c:lblOffset val="100"/>
        <c:noMultiLvlLbl val="0"/>
      </c:catAx>
      <c:valAx>
        <c:axId val="184220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(₹ lakh)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8984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Distribution of Monthly Sales (₹ 5 lakh bins)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'Univariate Analysis'!$D$18</c:f>
              <c:strCache>
                <c:ptCount val="1"/>
                <c:pt idx="0">
                  <c:v>Frequency (months)</c:v>
                </c:pt>
              </c:strCache>
            </c:strRef>
          </c:tx>
          <c:spPr>
            <a:solidFill>
              <a:srgbClr val="2F5597"/>
            </a:solidFill>
            <a:ln w="0">
              <a:solidFill>
                <a:srgbClr val="FFFFFF"/>
              </a:solidFill>
            </a:ln>
          </c:spPr>
          <c:invertIfNegative val="0"/>
          <c:dPt>
            <c:idx val="5"/>
            <c:invertIfNegative val="0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15C-4562-B4E0-8F1CACA189E3}"/>
              </c:ext>
            </c:extLst>
          </c:dPt>
          <c:dLbls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5C-4562-B4E0-8F1CACA189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'Univariate Analysis'!$A$19:$A$24</c:f>
              <c:strCache>
                <c:ptCount val="6"/>
                <c:pt idx="0">
                  <c:v>15–20</c:v>
                </c:pt>
                <c:pt idx="1">
                  <c:v>20–25</c:v>
                </c:pt>
                <c:pt idx="2">
                  <c:v>25–30</c:v>
                </c:pt>
                <c:pt idx="3">
                  <c:v>30–35</c:v>
                </c:pt>
                <c:pt idx="4">
                  <c:v>35–40</c:v>
                </c:pt>
                <c:pt idx="5">
                  <c:v>40–45</c:v>
                </c:pt>
              </c:strCache>
            </c:strRef>
          </c:cat>
          <c:val>
            <c:numRef>
              <c:f>'Univariate Analysis'!$D$19:$D$24</c:f>
              <c:numCache>
                <c:formatCode>0</c:formatCode>
                <c:ptCount val="6"/>
                <c:pt idx="0">
                  <c:v>3</c:v>
                </c:pt>
                <c:pt idx="1">
                  <c:v>6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5C-4562-B4E0-8F1CACA18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3798507"/>
        <c:axId val="13495054"/>
      </c:barChart>
      <c:catAx>
        <c:axId val="437985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Monthly sales band (₹ lakh)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95054"/>
        <c:crosses val="autoZero"/>
        <c:auto val="1"/>
        <c:lblAlgn val="ctr"/>
        <c:lblOffset val="100"/>
        <c:noMultiLvlLbl val="0"/>
      </c:catAx>
      <c:valAx>
        <c:axId val="1349505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months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798507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Advertising vs Sales: strong positive association (not proof of causation)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Months (Apr–Mar)</c:v>
          </c:tx>
          <c:spPr>
            <a:ln w="47520">
              <a:noFill/>
            </a:ln>
          </c:spPr>
          <c:marker>
            <c:symbol val="circle"/>
            <c:size val="8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0"/>
            <c:dispEq val="0"/>
          </c:trendline>
          <c:xVal>
            <c:numRef>
              <c:f>'Raw Dataset'!$B$2:$B$13</c:f>
              <c:numCache>
                <c:formatCode>0</c:formatCode>
                <c:ptCount val="12"/>
                <c:pt idx="0">
                  <c:v>48</c:v>
                </c:pt>
                <c:pt idx="1">
                  <c:v>52</c:v>
                </c:pt>
                <c:pt idx="2">
                  <c:v>60</c:v>
                </c:pt>
                <c:pt idx="3">
                  <c:v>50</c:v>
                </c:pt>
                <c:pt idx="4">
                  <c:v>66</c:v>
                </c:pt>
                <c:pt idx="5">
                  <c:v>55</c:v>
                </c:pt>
                <c:pt idx="6">
                  <c:v>82</c:v>
                </c:pt>
                <c:pt idx="7">
                  <c:v>105</c:v>
                </c:pt>
                <c:pt idx="8">
                  <c:v>90</c:v>
                </c:pt>
                <c:pt idx="9">
                  <c:v>58</c:v>
                </c:pt>
                <c:pt idx="10">
                  <c:v>50</c:v>
                </c:pt>
                <c:pt idx="11">
                  <c:v>70</c:v>
                </c:pt>
              </c:numCache>
            </c:numRef>
          </c:xVal>
          <c:yVal>
            <c:numRef>
              <c:f>'Raw Dataset'!$C$2:$C$13</c:f>
              <c:numCache>
                <c:formatCode>0.0</c:formatCode>
                <c:ptCount val="12"/>
                <c:pt idx="0">
                  <c:v>18.2</c:v>
                </c:pt>
                <c:pt idx="1">
                  <c:v>19.5</c:v>
                </c:pt>
                <c:pt idx="2">
                  <c:v>17.899999999999999</c:v>
                </c:pt>
                <c:pt idx="3">
                  <c:v>20.8</c:v>
                </c:pt>
                <c:pt idx="4">
                  <c:v>21.5</c:v>
                </c:pt>
                <c:pt idx="5">
                  <c:v>23</c:v>
                </c:pt>
                <c:pt idx="6">
                  <c:v>31.5</c:v>
                </c:pt>
                <c:pt idx="7">
                  <c:v>44.8</c:v>
                </c:pt>
                <c:pt idx="8">
                  <c:v>27.6</c:v>
                </c:pt>
                <c:pt idx="9">
                  <c:v>22.4</c:v>
                </c:pt>
                <c:pt idx="10">
                  <c:v>21.2</c:v>
                </c:pt>
                <c:pt idx="11">
                  <c:v>24.6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FF-401F-A96F-9426FEDAF045}"/>
            </c:ext>
          </c:extLst>
        </c:ser>
        <c:ser>
          <c:idx val="1"/>
          <c:order val="1"/>
          <c:tx>
            <c:v>November (potential outlier)</c:v>
          </c:tx>
          <c:spPr>
            <a:ln w="47520">
              <a:noFill/>
            </a:ln>
          </c:spPr>
          <c:marker>
            <c:symbol val="diamond"/>
            <c:size val="12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'Raw Dataset'!$B$9</c:f>
              <c:numCache>
                <c:formatCode>0</c:formatCode>
                <c:ptCount val="1"/>
                <c:pt idx="0">
                  <c:v>105</c:v>
                </c:pt>
              </c:numCache>
            </c:numRef>
          </c:xVal>
          <c:yVal>
            <c:numRef>
              <c:f>'Raw Dataset'!$C$9</c:f>
              <c:numCache>
                <c:formatCode>0.0</c:formatCode>
                <c:ptCount val="1"/>
                <c:pt idx="0">
                  <c:v>44.8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FF-401F-A96F-9426FEDAF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7745"/>
        <c:axId val="3009509"/>
      </c:scatterChart>
      <c:valAx>
        <c:axId val="19707745"/>
        <c:scaling>
          <c:orientation val="minMax"/>
          <c:max val="110"/>
          <c:min val="4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Advertising expenditure (₹ thousand)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09509"/>
        <c:crosses val="autoZero"/>
        <c:crossBetween val="midCat"/>
      </c:valAx>
      <c:valAx>
        <c:axId val="3009509"/>
        <c:scaling>
          <c:orientation val="minMax"/>
          <c:max val="50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revenue (₹ lakh)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70774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145440</xdr:rowOff>
    </xdr:from>
    <xdr:to>
      <xdr:col>7</xdr:col>
      <xdr:colOff>512280</xdr:colOff>
      <xdr:row>20</xdr:row>
      <xdr:rowOff>48960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</xdr:row>
      <xdr:rowOff>145440</xdr:rowOff>
    </xdr:from>
    <xdr:to>
      <xdr:col>16</xdr:col>
      <xdr:colOff>512280</xdr:colOff>
      <xdr:row>20</xdr:row>
      <xdr:rowOff>48960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145440</xdr:rowOff>
    </xdr:from>
    <xdr:to>
      <xdr:col>7</xdr:col>
      <xdr:colOff>512280</xdr:colOff>
      <xdr:row>38</xdr:row>
      <xdr:rowOff>48960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60960</xdr:colOff>
      <xdr:row>21</xdr:row>
      <xdr:rowOff>84480</xdr:rowOff>
    </xdr:from>
    <xdr:to>
      <xdr:col>16</xdr:col>
      <xdr:colOff>573240</xdr:colOff>
      <xdr:row>37</xdr:row>
      <xdr:rowOff>132780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D14"/>
  <sheetViews>
    <sheetView showGridLines="0" zoomScale="70" zoomScaleNormal="70" workbookViewId="0">
      <selection activeCell="D15" sqref="D15"/>
    </sheetView>
  </sheetViews>
  <sheetFormatPr defaultColWidth="8.6640625" defaultRowHeight="13.2" x14ac:dyDescent="0.25"/>
  <cols>
    <col min="1" max="1" width="32" customWidth="1"/>
    <col min="2" max="2" width="26" customWidth="1"/>
    <col min="3" max="3" width="28.33203125" bestFit="1" customWidth="1"/>
    <col min="4" max="4" width="83.109375" customWidth="1"/>
  </cols>
  <sheetData>
    <row r="1" spans="1:4" ht="30" x14ac:dyDescent="0.25">
      <c r="A1" s="50" t="s">
        <v>0</v>
      </c>
      <c r="B1" s="50"/>
      <c r="C1" s="50"/>
      <c r="D1" s="50"/>
    </row>
    <row r="3" spans="1:4" ht="63" customHeight="1" x14ac:dyDescent="0.25">
      <c r="A3" s="33" t="s">
        <v>1</v>
      </c>
      <c r="B3" s="49" t="s">
        <v>2</v>
      </c>
      <c r="C3" s="49"/>
      <c r="D3" s="49"/>
    </row>
    <row r="4" spans="1:4" ht="45.75" customHeight="1" x14ac:dyDescent="0.25">
      <c r="A4" s="33" t="s">
        <v>3</v>
      </c>
      <c r="B4" s="49" t="s">
        <v>179</v>
      </c>
      <c r="C4" s="49"/>
      <c r="D4" s="49"/>
    </row>
    <row r="5" spans="1:4" ht="45.75" customHeight="1" x14ac:dyDescent="0.25">
      <c r="A5" s="33" t="s">
        <v>4</v>
      </c>
      <c r="B5" s="49" t="s">
        <v>178</v>
      </c>
      <c r="C5" s="49"/>
      <c r="D5" s="49"/>
    </row>
    <row r="6" spans="1:4" ht="45.75" customHeight="1" x14ac:dyDescent="0.25">
      <c r="A6" s="33" t="s">
        <v>5</v>
      </c>
      <c r="B6" s="49" t="s">
        <v>177</v>
      </c>
      <c r="C6" s="49"/>
      <c r="D6" s="49"/>
    </row>
    <row r="7" spans="1:4" ht="65.400000000000006" customHeight="1" x14ac:dyDescent="0.25">
      <c r="A7" s="33" t="s">
        <v>6</v>
      </c>
      <c r="B7" s="49" t="s">
        <v>7</v>
      </c>
      <c r="C7" s="49"/>
      <c r="D7" s="49"/>
    </row>
    <row r="9" spans="1:4" ht="21" customHeight="1" x14ac:dyDescent="0.25">
      <c r="A9" s="48" t="s">
        <v>8</v>
      </c>
      <c r="B9" s="48"/>
      <c r="C9" s="48"/>
    </row>
    <row r="10" spans="1:4" ht="31.5" customHeight="1" x14ac:dyDescent="0.25">
      <c r="A10" s="32" t="s">
        <v>9</v>
      </c>
      <c r="B10" s="32" t="s">
        <v>10</v>
      </c>
      <c r="C10" s="32" t="s">
        <v>11</v>
      </c>
    </row>
    <row r="11" spans="1:4" ht="21" x14ac:dyDescent="0.25">
      <c r="A11" s="31" t="s">
        <v>12</v>
      </c>
      <c r="B11" s="31" t="s">
        <v>13</v>
      </c>
      <c r="C11" s="31" t="s">
        <v>14</v>
      </c>
    </row>
    <row r="12" spans="1:4" ht="21" x14ac:dyDescent="0.25">
      <c r="A12" s="31" t="s">
        <v>15</v>
      </c>
      <c r="B12" s="31" t="s">
        <v>16</v>
      </c>
      <c r="C12" s="31" t="s">
        <v>17</v>
      </c>
    </row>
    <row r="13" spans="1:4" ht="21" x14ac:dyDescent="0.25">
      <c r="A13" s="31" t="s">
        <v>18</v>
      </c>
      <c r="B13" s="31" t="s">
        <v>19</v>
      </c>
      <c r="C13" s="31" t="s">
        <v>17</v>
      </c>
    </row>
    <row r="14" spans="1:4" ht="21" x14ac:dyDescent="0.25">
      <c r="A14" s="31" t="s">
        <v>20</v>
      </c>
      <c r="B14" s="31" t="s">
        <v>21</v>
      </c>
      <c r="C14" s="31" t="s">
        <v>22</v>
      </c>
    </row>
  </sheetData>
  <mergeCells count="7">
    <mergeCell ref="A1:D1"/>
    <mergeCell ref="B7:D7"/>
    <mergeCell ref="A9:C9"/>
    <mergeCell ref="B3:D3"/>
    <mergeCell ref="B4:D4"/>
    <mergeCell ref="B5:D5"/>
    <mergeCell ref="B6:D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A1:D13"/>
  <sheetViews>
    <sheetView tabSelected="1" zoomScaleNormal="100" workbookViewId="0">
      <pane ySplit="1" topLeftCell="A2" activePane="bottomLeft" state="frozen"/>
      <selection pane="bottomLeft" activeCell="L4" sqref="L4"/>
    </sheetView>
  </sheetViews>
  <sheetFormatPr defaultColWidth="8.6640625" defaultRowHeight="13.2" x14ac:dyDescent="0.25"/>
  <cols>
    <col min="1" max="1" width="12" customWidth="1"/>
    <col min="2" max="2" width="27.5546875" customWidth="1"/>
    <col min="3" max="3" width="16" customWidth="1"/>
    <col min="4" max="4" width="12" customWidth="1"/>
    <col min="5" max="5" width="12.33203125" customWidth="1"/>
  </cols>
  <sheetData>
    <row r="1" spans="1:4" ht="31.5" customHeight="1" x14ac:dyDescent="0.25">
      <c r="A1" s="19" t="s">
        <v>12</v>
      </c>
      <c r="B1" s="19" t="s">
        <v>24</v>
      </c>
      <c r="C1" s="19" t="s">
        <v>25</v>
      </c>
      <c r="D1" s="19" t="s">
        <v>20</v>
      </c>
    </row>
    <row r="2" spans="1:4" ht="27.75" customHeight="1" x14ac:dyDescent="0.25">
      <c r="A2" s="20" t="s">
        <v>26</v>
      </c>
      <c r="B2" s="21">
        <v>48</v>
      </c>
      <c r="C2" s="22">
        <v>18.2</v>
      </c>
      <c r="D2" s="23">
        <v>420</v>
      </c>
    </row>
    <row r="3" spans="1:4" ht="27.75" customHeight="1" x14ac:dyDescent="0.25">
      <c r="A3" s="20" t="s">
        <v>27</v>
      </c>
      <c r="B3" s="21">
        <v>52</v>
      </c>
      <c r="C3" s="22">
        <v>19.5</v>
      </c>
      <c r="D3" s="23">
        <v>431</v>
      </c>
    </row>
    <row r="4" spans="1:4" ht="27.75" customHeight="1" x14ac:dyDescent="0.25">
      <c r="A4" s="20" t="s">
        <v>28</v>
      </c>
      <c r="B4" s="21">
        <v>60</v>
      </c>
      <c r="C4" s="22">
        <v>17.899999999999999</v>
      </c>
      <c r="D4" s="23">
        <v>410</v>
      </c>
    </row>
    <row r="5" spans="1:4" ht="27.75" customHeight="1" x14ac:dyDescent="0.25">
      <c r="A5" s="20" t="s">
        <v>29</v>
      </c>
      <c r="B5" s="21">
        <v>50</v>
      </c>
      <c r="C5" s="22">
        <v>20.8</v>
      </c>
      <c r="D5" s="23">
        <v>458</v>
      </c>
    </row>
    <row r="6" spans="1:4" ht="27.75" customHeight="1" x14ac:dyDescent="0.25">
      <c r="A6" s="20" t="s">
        <v>30</v>
      </c>
      <c r="B6" s="21">
        <v>66</v>
      </c>
      <c r="C6" s="22">
        <v>21.5</v>
      </c>
      <c r="D6" s="23">
        <v>497</v>
      </c>
    </row>
    <row r="7" spans="1:4" ht="27.75" customHeight="1" x14ac:dyDescent="0.25">
      <c r="A7" s="20" t="s">
        <v>31</v>
      </c>
      <c r="B7" s="21">
        <v>55</v>
      </c>
      <c r="C7" s="22">
        <v>23</v>
      </c>
      <c r="D7" s="23">
        <v>466</v>
      </c>
    </row>
    <row r="8" spans="1:4" ht="21" x14ac:dyDescent="0.25">
      <c r="A8" s="20" t="s">
        <v>32</v>
      </c>
      <c r="B8" s="21">
        <v>82</v>
      </c>
      <c r="C8" s="22">
        <v>31.5</v>
      </c>
      <c r="D8" s="23">
        <v>660</v>
      </c>
    </row>
    <row r="9" spans="1:4" ht="21" x14ac:dyDescent="0.25">
      <c r="A9" s="20" t="s">
        <v>33</v>
      </c>
      <c r="B9" s="21">
        <v>105</v>
      </c>
      <c r="C9" s="22">
        <v>44.8</v>
      </c>
      <c r="D9" s="23">
        <v>905</v>
      </c>
    </row>
    <row r="10" spans="1:4" ht="21" x14ac:dyDescent="0.25">
      <c r="A10" s="20" t="s">
        <v>34</v>
      </c>
      <c r="B10" s="21">
        <v>90</v>
      </c>
      <c r="C10" s="22">
        <v>27.6</v>
      </c>
      <c r="D10" s="23">
        <v>598</v>
      </c>
    </row>
    <row r="11" spans="1:4" ht="21" x14ac:dyDescent="0.25">
      <c r="A11" s="20" t="s">
        <v>35</v>
      </c>
      <c r="B11" s="21">
        <v>58</v>
      </c>
      <c r="C11" s="22">
        <v>22.4</v>
      </c>
      <c r="D11" s="23">
        <v>520</v>
      </c>
    </row>
    <row r="12" spans="1:4" ht="21" x14ac:dyDescent="0.25">
      <c r="A12" s="20" t="s">
        <v>36</v>
      </c>
      <c r="B12" s="21">
        <v>50</v>
      </c>
      <c r="C12" s="22">
        <v>21.2</v>
      </c>
      <c r="D12" s="23">
        <v>455</v>
      </c>
    </row>
    <row r="13" spans="1:4" ht="21" x14ac:dyDescent="0.25">
      <c r="A13" s="20" t="s">
        <v>37</v>
      </c>
      <c r="B13" s="21">
        <v>70</v>
      </c>
      <c r="C13" s="22">
        <v>24.6</v>
      </c>
      <c r="D13" s="23">
        <v>548</v>
      </c>
    </row>
  </sheetData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100-000002000000}">
            <xm:f>C2&gt;'Descriptive Statistics'!$B$18</xm:f>
            <x14:dxf>
              <font>
                <b/>
                <color rgb="FF9C0006"/>
                <name val="Arial"/>
                <charset val="1"/>
              </font>
              <fill>
                <patternFill>
                  <bgColor rgb="FFFFC7CE"/>
                </patternFill>
              </fill>
            </x14:dxf>
          </x14:cfRule>
          <xm:sqref>C2:C13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  <pageSetUpPr fitToPage="1"/>
  </sheetPr>
  <dimension ref="A1:F17"/>
  <sheetViews>
    <sheetView showGridLines="0" zoomScale="70" zoomScaleNormal="70" workbookViewId="0">
      <pane ySplit="3" topLeftCell="A4" activePane="bottomLeft" state="frozen"/>
      <selection pane="bottomLeft" activeCell="E24" sqref="E24"/>
    </sheetView>
  </sheetViews>
  <sheetFormatPr defaultColWidth="8.6640625" defaultRowHeight="13.2" x14ac:dyDescent="0.25"/>
  <cols>
    <col min="1" max="1" width="44" customWidth="1"/>
    <col min="2" max="2" width="16" customWidth="1"/>
    <col min="3" max="3" width="11" customWidth="1"/>
    <col min="4" max="4" width="19.6640625" customWidth="1"/>
    <col min="5" max="5" width="50.5546875" customWidth="1"/>
    <col min="6" max="6" width="54.88671875" customWidth="1"/>
  </cols>
  <sheetData>
    <row r="1" spans="1:6" ht="19.2" customHeight="1" x14ac:dyDescent="0.25">
      <c r="A1" s="52" t="s">
        <v>23</v>
      </c>
      <c r="B1" s="52"/>
      <c r="C1" s="52"/>
      <c r="D1" s="52"/>
      <c r="E1" s="52"/>
      <c r="F1" s="52"/>
    </row>
    <row r="2" spans="1:6" x14ac:dyDescent="0.25">
      <c r="A2" s="53"/>
      <c r="B2" s="53"/>
      <c r="C2" s="53"/>
      <c r="D2" s="53"/>
      <c r="E2" s="53"/>
      <c r="F2" s="53"/>
    </row>
    <row r="3" spans="1:6" ht="31.5" customHeight="1" x14ac:dyDescent="0.25">
      <c r="A3" s="29" t="s">
        <v>38</v>
      </c>
      <c r="B3" s="29" t="s">
        <v>39</v>
      </c>
      <c r="C3" s="29" t="s">
        <v>40</v>
      </c>
      <c r="D3" s="29" t="s">
        <v>41</v>
      </c>
      <c r="E3" s="29" t="s">
        <v>42</v>
      </c>
      <c r="F3" s="29" t="s">
        <v>43</v>
      </c>
    </row>
    <row r="4" spans="1:6" ht="30" customHeight="1" x14ac:dyDescent="0.25">
      <c r="A4" s="24" t="s">
        <v>44</v>
      </c>
      <c r="B4" s="25">
        <f>COUNTA('Raw Dataset'!$A$2:$A$13)</f>
        <v>12</v>
      </c>
      <c r="C4" s="26">
        <v>12</v>
      </c>
      <c r="D4" s="27" t="str">
        <f t="shared" ref="D4:D13" si="0">IF(B4=C4,"PASS","REVIEW")</f>
        <v>PASS</v>
      </c>
      <c r="E4" s="28" t="s">
        <v>45</v>
      </c>
      <c r="F4" s="24" t="s">
        <v>46</v>
      </c>
    </row>
    <row r="5" spans="1:6" ht="42" x14ac:dyDescent="0.25">
      <c r="A5" s="24" t="s">
        <v>47</v>
      </c>
      <c r="B5" s="25">
        <f>COUNTBLANK('Raw Dataset'!$B$2:$D$13)</f>
        <v>0</v>
      </c>
      <c r="C5" s="26">
        <v>0</v>
      </c>
      <c r="D5" s="27" t="str">
        <f t="shared" si="0"/>
        <v>PASS</v>
      </c>
      <c r="E5" s="28" t="s">
        <v>48</v>
      </c>
      <c r="F5" s="24" t="s">
        <v>49</v>
      </c>
    </row>
    <row r="6" spans="1:6" ht="30" customHeight="1" x14ac:dyDescent="0.25">
      <c r="A6" s="24" t="s">
        <v>50</v>
      </c>
      <c r="B6" s="25">
        <f>COUNTBLANK('Raw Dataset'!$A$2:$A$13)</f>
        <v>0</v>
      </c>
      <c r="C6" s="26">
        <v>0</v>
      </c>
      <c r="D6" s="27" t="str">
        <f t="shared" si="0"/>
        <v>PASS</v>
      </c>
      <c r="E6" s="28" t="s">
        <v>51</v>
      </c>
      <c r="F6" s="24" t="s">
        <v>52</v>
      </c>
    </row>
    <row r="7" spans="1:6" ht="30" customHeight="1" x14ac:dyDescent="0.25">
      <c r="A7" s="24" t="s">
        <v>53</v>
      </c>
      <c r="B7" s="25">
        <f>COUNT('Raw Dataset'!$B$2:$B$13)</f>
        <v>12</v>
      </c>
      <c r="C7" s="26">
        <v>12</v>
      </c>
      <c r="D7" s="27" t="str">
        <f t="shared" si="0"/>
        <v>PASS</v>
      </c>
      <c r="E7" s="28" t="s">
        <v>54</v>
      </c>
      <c r="F7" s="24" t="s">
        <v>55</v>
      </c>
    </row>
    <row r="8" spans="1:6" ht="30" customHeight="1" x14ac:dyDescent="0.25">
      <c r="A8" s="24" t="s">
        <v>56</v>
      </c>
      <c r="B8" s="25">
        <f>COUNT('Raw Dataset'!$C$2:$C$13)</f>
        <v>12</v>
      </c>
      <c r="C8" s="26">
        <v>12</v>
      </c>
      <c r="D8" s="27" t="str">
        <f t="shared" si="0"/>
        <v>PASS</v>
      </c>
      <c r="E8" s="28" t="s">
        <v>57</v>
      </c>
      <c r="F8" s="24" t="s">
        <v>58</v>
      </c>
    </row>
    <row r="9" spans="1:6" ht="30" customHeight="1" x14ac:dyDescent="0.25">
      <c r="A9" s="24" t="s">
        <v>59</v>
      </c>
      <c r="B9" s="25">
        <f>COUNT('Raw Dataset'!$D$2:$D$13)</f>
        <v>12</v>
      </c>
      <c r="C9" s="26">
        <v>12</v>
      </c>
      <c r="D9" s="27" t="str">
        <f t="shared" si="0"/>
        <v>PASS</v>
      </c>
      <c r="E9" s="28" t="s">
        <v>60</v>
      </c>
      <c r="F9" s="24" t="s">
        <v>61</v>
      </c>
    </row>
    <row r="10" spans="1:6" ht="42" x14ac:dyDescent="0.25">
      <c r="A10" s="24" t="s">
        <v>62</v>
      </c>
      <c r="B10" s="25">
        <f>SUMPRODUCT(--(COUNTIF('Raw Dataset'!$A$2:$A$13,'Raw Dataset'!$A$2:$A$13)&gt;1))</f>
        <v>0</v>
      </c>
      <c r="C10" s="26">
        <v>0</v>
      </c>
      <c r="D10" s="27" t="str">
        <f t="shared" si="0"/>
        <v>PASS</v>
      </c>
      <c r="E10" s="28" t="s">
        <v>63</v>
      </c>
      <c r="F10" s="24" t="s">
        <v>64</v>
      </c>
    </row>
    <row r="11" spans="1:6" ht="84" x14ac:dyDescent="0.25">
      <c r="A11" s="24" t="s">
        <v>65</v>
      </c>
      <c r="B11" s="25">
        <f>SUMPRODUCT(--(COUNTIFS('Raw Dataset'!$A$2:$A$13,'Raw Dataset'!$A$2:$A$13,'Raw Dataset'!$B$2:$B$13,'Raw Dataset'!$B$2:$B$13,'Raw Dataset'!$C$2:$C$13,'Raw Dataset'!$C$2:$C$13,'Raw Dataset'!$D$2:$D$13,'Raw Dataset'!$D$2:$D$13)&gt;1))</f>
        <v>0</v>
      </c>
      <c r="C11" s="26">
        <v>0</v>
      </c>
      <c r="D11" s="27" t="str">
        <f t="shared" si="0"/>
        <v>PASS</v>
      </c>
      <c r="E11" s="28" t="s">
        <v>66</v>
      </c>
      <c r="F11" s="24" t="s">
        <v>67</v>
      </c>
    </row>
    <row r="12" spans="1:6" ht="30" customHeight="1" x14ac:dyDescent="0.25">
      <c r="A12" s="24" t="s">
        <v>68</v>
      </c>
      <c r="B12" s="25">
        <f>COUNTIF('Raw Dataset'!$B$2:$B$13,"&gt;0")</f>
        <v>12</v>
      </c>
      <c r="C12" s="26">
        <v>12</v>
      </c>
      <c r="D12" s="27" t="str">
        <f t="shared" si="0"/>
        <v>PASS</v>
      </c>
      <c r="E12" s="28" t="s">
        <v>69</v>
      </c>
      <c r="F12" s="24" t="s">
        <v>70</v>
      </c>
    </row>
    <row r="13" spans="1:6" ht="30" customHeight="1" x14ac:dyDescent="0.25">
      <c r="A13" s="24" t="s">
        <v>71</v>
      </c>
      <c r="B13" s="25">
        <f>COUNTIF('Raw Dataset'!$C$2:$C$13,"&gt;0")</f>
        <v>12</v>
      </c>
      <c r="C13" s="26">
        <v>12</v>
      </c>
      <c r="D13" s="27" t="str">
        <f t="shared" si="0"/>
        <v>PASS</v>
      </c>
      <c r="E13" s="28" t="s">
        <v>72</v>
      </c>
      <c r="F13" s="24" t="s">
        <v>73</v>
      </c>
    </row>
    <row r="15" spans="1:6" x14ac:dyDescent="0.25">
      <c r="A15" s="9" t="s">
        <v>74</v>
      </c>
      <c r="B15" s="10" t="str">
        <f>COUNTIF(D4:D13,"PASS")&amp;" of "&amp;ROWS(D4:D13)&amp;" passed"</f>
        <v>10 of 10 passed</v>
      </c>
    </row>
    <row r="17" spans="1:6" ht="30" customHeight="1" x14ac:dyDescent="0.25">
      <c r="A17" s="51"/>
      <c r="B17" s="51"/>
      <c r="C17" s="51"/>
      <c r="D17" s="51"/>
      <c r="E17" s="51"/>
      <c r="F17" s="51"/>
    </row>
  </sheetData>
  <mergeCells count="2">
    <mergeCell ref="A17:F17"/>
    <mergeCell ref="A1:F2"/>
  </mergeCells>
  <conditionalFormatting sqref="D4:D14">
    <cfRule type="cellIs" dxfId="8" priority="2" operator="equal">
      <formula>"PASS"</formula>
    </cfRule>
    <cfRule type="cellIs" dxfId="7" priority="3" operator="equal">
      <formula>"REVIEW"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  <pageSetUpPr fitToPage="1"/>
  </sheetPr>
  <dimension ref="A1:D20"/>
  <sheetViews>
    <sheetView showGridLines="0" zoomScale="70" zoomScaleNormal="70" workbookViewId="0">
      <pane ySplit="3" topLeftCell="A4" activePane="bottomLeft" state="frozen"/>
      <selection pane="bottomLeft" sqref="A1:D2"/>
    </sheetView>
  </sheetViews>
  <sheetFormatPr defaultColWidth="8.6640625" defaultRowHeight="13.2" x14ac:dyDescent="0.25"/>
  <cols>
    <col min="1" max="1" width="62.77734375" bestFit="1" customWidth="1"/>
    <col min="2" max="2" width="15" customWidth="1"/>
    <col min="3" max="3" width="68.77734375" bestFit="1" customWidth="1"/>
    <col min="4" max="4" width="111.6640625" bestFit="1" customWidth="1"/>
  </cols>
  <sheetData>
    <row r="1" spans="1:4" ht="22.8" customHeight="1" x14ac:dyDescent="0.25">
      <c r="A1" s="54" t="s">
        <v>75</v>
      </c>
      <c r="B1" s="54"/>
      <c r="C1" s="54"/>
      <c r="D1" s="54"/>
    </row>
    <row r="2" spans="1:4" ht="22.8" customHeight="1" x14ac:dyDescent="0.25">
      <c r="A2" s="55"/>
      <c r="B2" s="55"/>
      <c r="C2" s="55"/>
      <c r="D2" s="55"/>
    </row>
    <row r="3" spans="1:4" ht="31.5" customHeight="1" x14ac:dyDescent="0.25">
      <c r="A3" s="40" t="s">
        <v>76</v>
      </c>
      <c r="B3" s="40" t="s">
        <v>77</v>
      </c>
      <c r="C3" s="40" t="s">
        <v>42</v>
      </c>
      <c r="D3" s="40" t="s">
        <v>79</v>
      </c>
    </row>
    <row r="4" spans="1:4" ht="27.75" customHeight="1" x14ac:dyDescent="0.25">
      <c r="A4" s="41" t="s">
        <v>80</v>
      </c>
      <c r="B4" s="42">
        <f>COUNT('Raw Dataset'!$C$2:$C$13)</f>
        <v>12</v>
      </c>
      <c r="C4" s="44" t="s">
        <v>57</v>
      </c>
      <c r="D4" s="30" t="s">
        <v>81</v>
      </c>
    </row>
    <row r="5" spans="1:4" ht="27.75" customHeight="1" x14ac:dyDescent="0.25">
      <c r="A5" s="41" t="s">
        <v>82</v>
      </c>
      <c r="B5" s="43">
        <f>AVERAGE('Raw Dataset'!$C$2:$C$13)</f>
        <v>24.416666666666668</v>
      </c>
      <c r="C5" s="44" t="s">
        <v>83</v>
      </c>
      <c r="D5" s="30" t="s">
        <v>84</v>
      </c>
    </row>
    <row r="6" spans="1:4" ht="27.75" customHeight="1" x14ac:dyDescent="0.25">
      <c r="A6" s="41" t="s">
        <v>85</v>
      </c>
      <c r="B6" s="43">
        <f>MEDIAN('Raw Dataset'!$C$2:$C$13)</f>
        <v>21.95</v>
      </c>
      <c r="C6" s="44" t="s">
        <v>86</v>
      </c>
      <c r="D6" s="30" t="s">
        <v>87</v>
      </c>
    </row>
    <row r="7" spans="1:4" ht="22.8" x14ac:dyDescent="0.25">
      <c r="A7" s="41" t="s">
        <v>88</v>
      </c>
      <c r="B7" s="43">
        <f>MIN('Raw Dataset'!$C$2:$C$13)</f>
        <v>17.899999999999999</v>
      </c>
      <c r="C7" s="44" t="s">
        <v>89</v>
      </c>
      <c r="D7" s="30" t="s">
        <v>90</v>
      </c>
    </row>
    <row r="8" spans="1:4" ht="27.75" customHeight="1" x14ac:dyDescent="0.25">
      <c r="A8" s="41" t="s">
        <v>91</v>
      </c>
      <c r="B8" s="43">
        <f>MAX('Raw Dataset'!$C$2:$C$13)</f>
        <v>44.8</v>
      </c>
      <c r="C8" s="44" t="s">
        <v>92</v>
      </c>
      <c r="D8" s="30" t="s">
        <v>93</v>
      </c>
    </row>
    <row r="9" spans="1:4" ht="27.75" customHeight="1" x14ac:dyDescent="0.25">
      <c r="A9" s="34" t="s">
        <v>94</v>
      </c>
      <c r="B9" s="35">
        <f>B8-B7</f>
        <v>26.9</v>
      </c>
      <c r="C9" s="45" t="s">
        <v>95</v>
      </c>
      <c r="D9" s="30" t="s">
        <v>96</v>
      </c>
    </row>
    <row r="10" spans="1:4" ht="27.75" customHeight="1" x14ac:dyDescent="0.25">
      <c r="A10" s="34" t="s">
        <v>97</v>
      </c>
      <c r="B10" s="36">
        <f>_xlfn.QUARTILE.INC('Raw Dataset'!$C$2:$C$13,1)</f>
        <v>20.475000000000001</v>
      </c>
      <c r="C10" s="45" t="s">
        <v>98</v>
      </c>
      <c r="D10" s="30" t="s">
        <v>99</v>
      </c>
    </row>
    <row r="11" spans="1:4" ht="27.75" customHeight="1" x14ac:dyDescent="0.25">
      <c r="A11" s="34" t="s">
        <v>100</v>
      </c>
      <c r="B11" s="36">
        <f>_xlfn.QUARTILE.INC('Raw Dataset'!$C$2:$C$13,3)</f>
        <v>25.35</v>
      </c>
      <c r="C11" s="45" t="s">
        <v>101</v>
      </c>
      <c r="D11" s="30" t="s">
        <v>102</v>
      </c>
    </row>
    <row r="12" spans="1:4" ht="27.75" customHeight="1" x14ac:dyDescent="0.25">
      <c r="A12" s="34" t="s">
        <v>103</v>
      </c>
      <c r="B12" s="36">
        <f>B11-B10</f>
        <v>4.875</v>
      </c>
      <c r="C12" s="45" t="s">
        <v>104</v>
      </c>
      <c r="D12" s="30" t="s">
        <v>105</v>
      </c>
    </row>
    <row r="13" spans="1:4" ht="27.75" customHeight="1" x14ac:dyDescent="0.25">
      <c r="A13" s="34" t="s">
        <v>106</v>
      </c>
      <c r="B13" s="35">
        <f>_xlfn.VAR.S('Raw Dataset'!$C$2:$C$13)</f>
        <v>56.283333333333346</v>
      </c>
      <c r="C13" s="45" t="s">
        <v>107</v>
      </c>
      <c r="D13" s="30" t="s">
        <v>108</v>
      </c>
    </row>
    <row r="14" spans="1:4" ht="27.75" customHeight="1" x14ac:dyDescent="0.25">
      <c r="A14" s="34" t="s">
        <v>109</v>
      </c>
      <c r="B14" s="35">
        <f>_xlfn.STDEV.S('Raw Dataset'!$C$2:$C$13)</f>
        <v>7.502221893101626</v>
      </c>
      <c r="C14" s="45" t="s">
        <v>110</v>
      </c>
      <c r="D14" s="30" t="s">
        <v>111</v>
      </c>
    </row>
    <row r="15" spans="1:4" ht="27.75" customHeight="1" x14ac:dyDescent="0.25">
      <c r="A15" s="34" t="s">
        <v>112</v>
      </c>
      <c r="B15" s="35">
        <f>_xlfn.STDEV.P('Raw Dataset'!$C$2:$C$13)</f>
        <v>7.1828306088585663</v>
      </c>
      <c r="C15" s="45" t="s">
        <v>113</v>
      </c>
      <c r="D15" s="30" t="s">
        <v>114</v>
      </c>
    </row>
    <row r="16" spans="1:4" ht="27.75" customHeight="1" x14ac:dyDescent="0.25">
      <c r="A16" s="34" t="s">
        <v>115</v>
      </c>
      <c r="B16" s="37">
        <f>B14/B5*100</f>
        <v>30.725823452975941</v>
      </c>
      <c r="C16" s="45" t="s">
        <v>116</v>
      </c>
      <c r="D16" s="30" t="s">
        <v>117</v>
      </c>
    </row>
    <row r="17" spans="1:4" ht="27.75" customHeight="1" x14ac:dyDescent="0.25">
      <c r="A17" s="34" t="s">
        <v>118</v>
      </c>
      <c r="B17" s="36">
        <f>B10-1.5*B12</f>
        <v>13.162500000000001</v>
      </c>
      <c r="C17" s="45" t="s">
        <v>119</v>
      </c>
      <c r="D17" s="30" t="s">
        <v>120</v>
      </c>
    </row>
    <row r="18" spans="1:4" ht="27.75" customHeight="1" x14ac:dyDescent="0.25">
      <c r="A18" s="34" t="s">
        <v>121</v>
      </c>
      <c r="B18" s="36">
        <f>B11+1.5*B12</f>
        <v>32.662500000000001</v>
      </c>
      <c r="C18" s="45" t="s">
        <v>122</v>
      </c>
      <c r="D18" s="30" t="s">
        <v>123</v>
      </c>
    </row>
    <row r="19" spans="1:4" ht="27.75" customHeight="1" x14ac:dyDescent="0.25">
      <c r="A19" s="34" t="s">
        <v>124</v>
      </c>
      <c r="B19" s="38">
        <f>COUNTIF('Raw Dataset'!$C$2:$C$13,"&gt;"&amp;B18)+COUNTIF('Raw Dataset'!$C$2:$C$13,"&lt;"&amp;B17)</f>
        <v>1</v>
      </c>
      <c r="C19" s="45" t="s">
        <v>125</v>
      </c>
      <c r="D19" s="30" t="s">
        <v>126</v>
      </c>
    </row>
    <row r="20" spans="1:4" ht="27.75" customHeight="1" x14ac:dyDescent="0.25">
      <c r="A20" s="34" t="s">
        <v>127</v>
      </c>
      <c r="B20" s="39" t="str">
        <f>IF(COUNTIF('Raw Dataset'!$C$2:$C$13,"&gt;"&amp;B18)&gt;0,INDEX('Raw Dataset'!$A$2:$A$13,MATCH(B8,'Raw Dataset'!$C$2:$C$13,0)),"None")</f>
        <v>Nov</v>
      </c>
      <c r="C20" s="45" t="s">
        <v>128</v>
      </c>
      <c r="D20" s="30" t="s">
        <v>129</v>
      </c>
    </row>
  </sheetData>
  <mergeCells count="1">
    <mergeCell ref="A1:D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  <pageSetUpPr fitToPage="1"/>
  </sheetPr>
  <dimension ref="A1:H55"/>
  <sheetViews>
    <sheetView showGridLines="0" topLeftCell="A28" zoomScaleNormal="100" workbookViewId="0">
      <selection activeCell="D10" sqref="D10"/>
    </sheetView>
  </sheetViews>
  <sheetFormatPr defaultColWidth="8.6640625" defaultRowHeight="13.2" x14ac:dyDescent="0.25"/>
  <cols>
    <col min="1" max="1" width="36" customWidth="1"/>
    <col min="2" max="2" width="24" customWidth="1"/>
    <col min="3" max="3" width="18" customWidth="1"/>
    <col min="4" max="4" width="20" customWidth="1"/>
    <col min="5" max="5" width="18" customWidth="1"/>
    <col min="6" max="7" width="16" customWidth="1"/>
    <col min="8" max="8" width="18" customWidth="1"/>
  </cols>
  <sheetData>
    <row r="1" spans="1:6" ht="19.2" x14ac:dyDescent="0.25">
      <c r="A1" s="2" t="s">
        <v>131</v>
      </c>
    </row>
    <row r="2" spans="1:6" x14ac:dyDescent="0.25">
      <c r="A2" s="3" t="s">
        <v>132</v>
      </c>
    </row>
    <row r="4" spans="1:6" ht="13.8" x14ac:dyDescent="0.25">
      <c r="A4" s="4" t="s">
        <v>133</v>
      </c>
    </row>
    <row r="5" spans="1:6" x14ac:dyDescent="0.25">
      <c r="A5" s="57" t="s">
        <v>134</v>
      </c>
      <c r="B5" s="15">
        <v>20</v>
      </c>
    </row>
    <row r="6" spans="1:6" x14ac:dyDescent="0.25">
      <c r="A6" s="57" t="s">
        <v>135</v>
      </c>
      <c r="B6" s="15">
        <v>30</v>
      </c>
    </row>
    <row r="8" spans="1:6" ht="31.5" customHeight="1" x14ac:dyDescent="0.25">
      <c r="A8" s="63" t="s">
        <v>136</v>
      </c>
      <c r="B8" s="63" t="s">
        <v>137</v>
      </c>
      <c r="C8" s="63" t="s">
        <v>138</v>
      </c>
      <c r="D8" s="63" t="s">
        <v>139</v>
      </c>
      <c r="E8" s="63" t="s">
        <v>78</v>
      </c>
      <c r="F8" s="63" t="s">
        <v>38</v>
      </c>
    </row>
    <row r="9" spans="1:6" x14ac:dyDescent="0.25">
      <c r="A9" s="11" t="s">
        <v>140</v>
      </c>
      <c r="B9" s="5" t="str">
        <f>"Below ₹"&amp;B5&amp;" lakh"</f>
        <v>Below ₹20 lakh</v>
      </c>
      <c r="C9" s="7">
        <f>COUNTIF('Raw Dataset'!$C$2:$C$13,"&lt;"&amp;B5)</f>
        <v>3</v>
      </c>
      <c r="D9" s="18">
        <f>C9/$C$12</f>
        <v>0.25</v>
      </c>
      <c r="E9" s="6">
        <v>3</v>
      </c>
      <c r="F9" s="8" t="str">
        <f>IF(C9=E9,"Match","Differs")</f>
        <v>Match</v>
      </c>
    </row>
    <row r="10" spans="1:6" x14ac:dyDescent="0.25">
      <c r="A10" s="11" t="s">
        <v>141</v>
      </c>
      <c r="B10" s="5" t="str">
        <f>"₹"&amp;B5&amp;" lakh to below ₹"&amp;B6&amp;" lakh"</f>
        <v>₹20 lakh to below ₹30 lakh</v>
      </c>
      <c r="C10" s="7">
        <f>COUNTIFS('Raw Dataset'!$C$2:$C$13,"&gt;="&amp;B5,'Raw Dataset'!$C$2:$C$13,"&lt;"&amp;B6)</f>
        <v>7</v>
      </c>
      <c r="D10" s="18">
        <f>C10/$C$12</f>
        <v>0.58333333333333337</v>
      </c>
      <c r="E10" s="6">
        <v>7</v>
      </c>
      <c r="F10" s="8" t="str">
        <f>IF(C10=E10,"Match","Differs")</f>
        <v>Match</v>
      </c>
    </row>
    <row r="11" spans="1:6" x14ac:dyDescent="0.25">
      <c r="A11" s="11" t="s">
        <v>142</v>
      </c>
      <c r="B11" s="5" t="str">
        <f>"₹"&amp;B6&amp;" lakh or more"</f>
        <v>₹30 lakh or more</v>
      </c>
      <c r="C11" s="7">
        <f>COUNTIF('Raw Dataset'!$C$2:$C$13,"&gt;="&amp;B6)</f>
        <v>2</v>
      </c>
      <c r="D11" s="18">
        <f>C11/$C$12</f>
        <v>0.16666666666666666</v>
      </c>
      <c r="E11" s="6">
        <v>2</v>
      </c>
      <c r="F11" s="8" t="str">
        <f>IF(C11=E11,"Match","Differs")</f>
        <v>Match</v>
      </c>
    </row>
    <row r="12" spans="1:6" x14ac:dyDescent="0.25">
      <c r="A12" s="58" t="s">
        <v>143</v>
      </c>
      <c r="B12" s="59"/>
      <c r="C12" s="60">
        <f>SUM(C9:C11)</f>
        <v>12</v>
      </c>
      <c r="D12" s="61">
        <f>SUM(D9:D11)</f>
        <v>1</v>
      </c>
      <c r="E12" s="62">
        <v>12</v>
      </c>
      <c r="F12" s="10" t="str">
        <f>IF(C12=COUNT('Raw Dataset'!$C$2:$C$13),"Match","Differs")</f>
        <v>Match</v>
      </c>
    </row>
    <row r="14" spans="1:6" ht="13.8" x14ac:dyDescent="0.25">
      <c r="A14" s="4" t="s">
        <v>144</v>
      </c>
    </row>
    <row r="15" spans="1:6" x14ac:dyDescent="0.25">
      <c r="A15" s="57" t="s">
        <v>145</v>
      </c>
      <c r="B15" s="15">
        <v>15</v>
      </c>
    </row>
    <row r="16" spans="1:6" x14ac:dyDescent="0.25">
      <c r="A16" s="57" t="s">
        <v>146</v>
      </c>
      <c r="B16" s="15">
        <v>5</v>
      </c>
    </row>
    <row r="18" spans="1:8" ht="31.5" customHeight="1" x14ac:dyDescent="0.25">
      <c r="A18" s="63" t="s">
        <v>147</v>
      </c>
      <c r="B18" s="63" t="s">
        <v>148</v>
      </c>
      <c r="C18" s="63" t="s">
        <v>149</v>
      </c>
      <c r="D18" s="63" t="s">
        <v>150</v>
      </c>
      <c r="E18" s="63" t="s">
        <v>139</v>
      </c>
      <c r="F18" s="63" t="s">
        <v>151</v>
      </c>
      <c r="G18" s="63" t="s">
        <v>78</v>
      </c>
      <c r="H18" s="63" t="s">
        <v>38</v>
      </c>
    </row>
    <row r="19" spans="1:8" x14ac:dyDescent="0.25">
      <c r="A19" s="8" t="str">
        <f t="shared" ref="A19:A24" si="0">B19&amp;"–"&amp;C19</f>
        <v>15–20</v>
      </c>
      <c r="B19" s="7">
        <f>$B$15+$B$16*0</f>
        <v>15</v>
      </c>
      <c r="C19" s="7">
        <f t="shared" ref="C19:C24" si="1">B19+$B$16</f>
        <v>20</v>
      </c>
      <c r="D19" s="7">
        <f>COUNTIFS('Raw Dataset'!$C$2:$C$13,"&gt;="&amp;B19,'Raw Dataset'!$C$2:$C$13,"&lt;"&amp;C19)</f>
        <v>3</v>
      </c>
      <c r="E19" s="18">
        <f>D19/$D$25</f>
        <v>0.25</v>
      </c>
      <c r="F19" s="18">
        <f>SUM($D$19:D19)/$D$25</f>
        <v>0.25</v>
      </c>
      <c r="G19" s="6">
        <v>3</v>
      </c>
      <c r="H19" s="8" t="str">
        <f t="shared" ref="H19:H24" si="2">IF(D19=G19,"Match","Differs")</f>
        <v>Match</v>
      </c>
    </row>
    <row r="20" spans="1:8" x14ac:dyDescent="0.25">
      <c r="A20" s="8" t="str">
        <f t="shared" si="0"/>
        <v>20–25</v>
      </c>
      <c r="B20" s="7">
        <f>$B$15+$B$16*1</f>
        <v>20</v>
      </c>
      <c r="C20" s="7">
        <f t="shared" si="1"/>
        <v>25</v>
      </c>
      <c r="D20" s="7">
        <f>COUNTIFS('Raw Dataset'!$C$2:$C$13,"&gt;="&amp;B20,'Raw Dataset'!$C$2:$C$13,"&lt;"&amp;C20)</f>
        <v>6</v>
      </c>
      <c r="E20" s="18">
        <f t="shared" ref="E19:E24" si="3">D20/$D$25</f>
        <v>0.5</v>
      </c>
      <c r="F20" s="18">
        <f>SUM($D$19:D20)/$D$25</f>
        <v>0.75</v>
      </c>
      <c r="G20" s="6">
        <v>6</v>
      </c>
      <c r="H20" s="8" t="str">
        <f t="shared" si="2"/>
        <v>Match</v>
      </c>
    </row>
    <row r="21" spans="1:8" x14ac:dyDescent="0.25">
      <c r="A21" s="8" t="str">
        <f t="shared" si="0"/>
        <v>25–30</v>
      </c>
      <c r="B21" s="7">
        <f>$B$15+$B$16*2</f>
        <v>25</v>
      </c>
      <c r="C21" s="7">
        <f t="shared" si="1"/>
        <v>30</v>
      </c>
      <c r="D21" s="7">
        <f>COUNTIFS('Raw Dataset'!$C$2:$C$13,"&gt;="&amp;B21,'Raw Dataset'!$C$2:$C$13,"&lt;"&amp;C21)</f>
        <v>1</v>
      </c>
      <c r="E21" s="18">
        <f t="shared" si="3"/>
        <v>8.3333333333333329E-2</v>
      </c>
      <c r="F21" s="18">
        <f>SUM($D$19:D21)/$D$25</f>
        <v>0.83333333333333337</v>
      </c>
      <c r="G21" s="6">
        <v>1</v>
      </c>
      <c r="H21" s="8" t="str">
        <f t="shared" si="2"/>
        <v>Match</v>
      </c>
    </row>
    <row r="22" spans="1:8" x14ac:dyDescent="0.25">
      <c r="A22" s="8" t="str">
        <f t="shared" si="0"/>
        <v>30–35</v>
      </c>
      <c r="B22" s="7">
        <f>$B$15+$B$16*3</f>
        <v>30</v>
      </c>
      <c r="C22" s="7">
        <f t="shared" si="1"/>
        <v>35</v>
      </c>
      <c r="D22" s="7">
        <f>COUNTIFS('Raw Dataset'!$C$2:$C$13,"&gt;="&amp;B22,'Raw Dataset'!$C$2:$C$13,"&lt;"&amp;C22)</f>
        <v>1</v>
      </c>
      <c r="E22" s="18">
        <f t="shared" si="3"/>
        <v>8.3333333333333329E-2</v>
      </c>
      <c r="F22" s="18">
        <f>SUM($D$19:D22)/$D$25</f>
        <v>0.91666666666666663</v>
      </c>
      <c r="G22" s="6">
        <v>1</v>
      </c>
      <c r="H22" s="8" t="str">
        <f t="shared" si="2"/>
        <v>Match</v>
      </c>
    </row>
    <row r="23" spans="1:8" x14ac:dyDescent="0.25">
      <c r="A23" s="8" t="str">
        <f t="shared" si="0"/>
        <v>35–40</v>
      </c>
      <c r="B23" s="7">
        <f>$B$15+$B$16*4</f>
        <v>35</v>
      </c>
      <c r="C23" s="7">
        <f t="shared" si="1"/>
        <v>40</v>
      </c>
      <c r="D23" s="7">
        <f>COUNTIFS('Raw Dataset'!$C$2:$C$13,"&gt;="&amp;B23,'Raw Dataset'!$C$2:$C$13,"&lt;"&amp;C23)</f>
        <v>0</v>
      </c>
      <c r="E23" s="18">
        <f t="shared" si="3"/>
        <v>0</v>
      </c>
      <c r="F23" s="18">
        <f>SUM($D$19:D23)/$D$25</f>
        <v>0.91666666666666663</v>
      </c>
      <c r="G23" s="6">
        <v>0</v>
      </c>
      <c r="H23" s="8" t="str">
        <f t="shared" si="2"/>
        <v>Match</v>
      </c>
    </row>
    <row r="24" spans="1:8" x14ac:dyDescent="0.25">
      <c r="A24" s="8" t="str">
        <f t="shared" si="0"/>
        <v>40–45</v>
      </c>
      <c r="B24" s="7">
        <f>$B$15+$B$16*5</f>
        <v>40</v>
      </c>
      <c r="C24" s="7">
        <f t="shared" si="1"/>
        <v>45</v>
      </c>
      <c r="D24" s="7">
        <f>COUNTIFS('Raw Dataset'!$C$2:$C$13,"&gt;="&amp;B24,'Raw Dataset'!$C$2:$C$13,"&lt;"&amp;C24)</f>
        <v>1</v>
      </c>
      <c r="E24" s="18">
        <f t="shared" si="3"/>
        <v>8.3333333333333329E-2</v>
      </c>
      <c r="F24" s="18">
        <f>SUM($D$19:D24)/$D$25</f>
        <v>1</v>
      </c>
      <c r="G24" s="6">
        <v>1</v>
      </c>
      <c r="H24" s="8" t="str">
        <f t="shared" si="2"/>
        <v>Match</v>
      </c>
    </row>
    <row r="25" spans="1:8" x14ac:dyDescent="0.25">
      <c r="A25" s="57" t="s">
        <v>143</v>
      </c>
      <c r="B25" s="66"/>
      <c r="C25" s="66"/>
      <c r="D25" s="67">
        <f>SUM(D19:D24)</f>
        <v>12</v>
      </c>
      <c r="E25" s="68">
        <f>SUM(E19:E24)</f>
        <v>1</v>
      </c>
      <c r="F25" s="66"/>
      <c r="G25" s="66"/>
      <c r="H25" s="69" t="str">
        <f>IF(D25=COUNT('Raw Dataset'!$C$2:$C$13),"All values binned","Check bins")</f>
        <v>All values binned</v>
      </c>
    </row>
    <row r="26" spans="1:8" x14ac:dyDescent="0.25">
      <c r="A26" s="65" t="s">
        <v>152</v>
      </c>
      <c r="B26" s="64"/>
      <c r="C26" s="64"/>
      <c r="D26" s="64"/>
      <c r="E26" s="64"/>
    </row>
    <row r="28" spans="1:8" ht="13.8" x14ac:dyDescent="0.25">
      <c r="A28" s="4" t="s">
        <v>153</v>
      </c>
    </row>
    <row r="29" spans="1:8" ht="31.5" customHeight="1" x14ac:dyDescent="0.25">
      <c r="A29" s="63" t="s">
        <v>130</v>
      </c>
      <c r="B29" s="63" t="s">
        <v>77</v>
      </c>
      <c r="C29" s="63" t="s">
        <v>154</v>
      </c>
    </row>
    <row r="30" spans="1:8" x14ac:dyDescent="0.25">
      <c r="A30" s="11" t="s">
        <v>155</v>
      </c>
      <c r="B30" s="17">
        <f>'Descriptive Statistics'!$B$5</f>
        <v>24.416666666666668</v>
      </c>
      <c r="C30" s="56" t="str">
        <f>IF(B30&gt;B31,"Mean above median: right-skewed (pulled up by the peak month)",IF(B30&lt;B31,"Mean below median: left-skewed","Mean equals median: roughly symmetric"))</f>
        <v>Mean above median: right-skewed (pulled up by the peak month)</v>
      </c>
      <c r="D30" s="56"/>
      <c r="E30" s="56"/>
      <c r="F30" s="56"/>
      <c r="G30" s="64" t="s">
        <v>181</v>
      </c>
    </row>
    <row r="31" spans="1:8" ht="15" customHeight="1" x14ac:dyDescent="0.25">
      <c r="A31" s="11" t="s">
        <v>156</v>
      </c>
      <c r="B31" s="17">
        <f>'Descriptive Statistics'!$B$6</f>
        <v>21.95</v>
      </c>
      <c r="C31" s="56" t="s">
        <v>157</v>
      </c>
      <c r="D31" s="56"/>
      <c r="E31" s="56"/>
      <c r="F31" s="56"/>
    </row>
    <row r="32" spans="1:8" ht="15" customHeight="1" x14ac:dyDescent="0.25">
      <c r="A32" s="11" t="s">
        <v>158</v>
      </c>
      <c r="B32" s="17">
        <f>B30-B31</f>
        <v>2.4666666666666686</v>
      </c>
      <c r="C32" s="56" t="s">
        <v>159</v>
      </c>
      <c r="D32" s="56"/>
      <c r="E32" s="56"/>
      <c r="F32" s="56"/>
    </row>
    <row r="33" spans="1:6" ht="15" customHeight="1" x14ac:dyDescent="0.25">
      <c r="A33" s="11" t="s">
        <v>160</v>
      </c>
      <c r="B33" s="17">
        <f>'Descriptive Statistics'!$B$9</f>
        <v>26.9</v>
      </c>
      <c r="C33" s="56" t="s">
        <v>161</v>
      </c>
      <c r="D33" s="56"/>
      <c r="E33" s="56"/>
      <c r="F33" s="56"/>
    </row>
    <row r="34" spans="1:6" ht="15" customHeight="1" x14ac:dyDescent="0.25">
      <c r="A34" s="11" t="s">
        <v>162</v>
      </c>
      <c r="B34" s="14">
        <f>'Descriptive Statistics'!$B$12</f>
        <v>4.875</v>
      </c>
      <c r="C34" s="56" t="s">
        <v>163</v>
      </c>
      <c r="D34" s="56"/>
      <c r="E34" s="56"/>
      <c r="F34" s="56"/>
    </row>
    <row r="35" spans="1:6" ht="15" customHeight="1" x14ac:dyDescent="0.25">
      <c r="A35" s="11" t="s">
        <v>164</v>
      </c>
      <c r="B35" s="17">
        <f>'Descriptive Statistics'!$B$14</f>
        <v>7.502221893101626</v>
      </c>
      <c r="C35" s="56" t="s">
        <v>165</v>
      </c>
      <c r="D35" s="56"/>
      <c r="E35" s="56"/>
      <c r="F35" s="56"/>
    </row>
    <row r="36" spans="1:6" ht="15" customHeight="1" x14ac:dyDescent="0.25">
      <c r="A36" s="11" t="s">
        <v>115</v>
      </c>
      <c r="B36" s="16">
        <f>'Descriptive Statistics'!$B$16</f>
        <v>30.725823452975941</v>
      </c>
      <c r="C36" s="56" t="s">
        <v>166</v>
      </c>
      <c r="D36" s="56"/>
      <c r="E36" s="56"/>
      <c r="F36" s="56"/>
    </row>
    <row r="37" spans="1:6" ht="15" customHeight="1" x14ac:dyDescent="0.25">
      <c r="A37" s="11" t="s">
        <v>167</v>
      </c>
      <c r="B37" s="14">
        <f>'Descriptive Statistics'!$B$17</f>
        <v>13.162500000000001</v>
      </c>
      <c r="C37" s="56" t="s">
        <v>168</v>
      </c>
      <c r="D37" s="56"/>
      <c r="E37" s="56"/>
      <c r="F37" s="56"/>
    </row>
    <row r="38" spans="1:6" ht="15" customHeight="1" x14ac:dyDescent="0.25">
      <c r="A38" s="11" t="s">
        <v>169</v>
      </c>
      <c r="B38" s="14">
        <f>'Descriptive Statistics'!$B$18</f>
        <v>32.662500000000001</v>
      </c>
      <c r="C38" s="56" t="s">
        <v>170</v>
      </c>
      <c r="D38" s="56"/>
      <c r="E38" s="56"/>
      <c r="F38" s="56"/>
    </row>
    <row r="39" spans="1:6" ht="15" customHeight="1" x14ac:dyDescent="0.25">
      <c r="A39" s="11" t="s">
        <v>171</v>
      </c>
      <c r="B39" s="7">
        <f>'Descriptive Statistics'!$B$19</f>
        <v>1</v>
      </c>
      <c r="C39" s="56" t="s">
        <v>172</v>
      </c>
      <c r="D39" s="56"/>
      <c r="E39" s="56"/>
      <c r="F39" s="56"/>
    </row>
    <row r="42" spans="1:6" ht="13.8" x14ac:dyDescent="0.25">
      <c r="A42" s="4" t="s">
        <v>173</v>
      </c>
    </row>
    <row r="43" spans="1:6" ht="31.5" customHeight="1" x14ac:dyDescent="0.25">
      <c r="A43" s="63" t="s">
        <v>12</v>
      </c>
      <c r="B43" s="63" t="s">
        <v>25</v>
      </c>
      <c r="C43" s="63" t="s">
        <v>136</v>
      </c>
      <c r="D43" s="63" t="s">
        <v>174</v>
      </c>
    </row>
    <row r="44" spans="1:6" x14ac:dyDescent="0.25">
      <c r="A44" s="12" t="str">
        <f>'Raw Dataset'!A2</f>
        <v>Apr</v>
      </c>
      <c r="B44" s="13">
        <f>'Raw Dataset'!C2</f>
        <v>18.2</v>
      </c>
      <c r="C44" s="12" t="str">
        <f>IF(B44&lt;$B$5,"Low",IF(B44&lt;$B$6,"Medium","High"))</f>
        <v>Low</v>
      </c>
      <c r="D44" s="12" t="str">
        <f>IF(OR(B44&gt;'Descriptive Statistics'!$B$18,B44&lt;'Descriptive Statistics'!$B$17),"Potential outlier","Within fences")</f>
        <v>Within fences</v>
      </c>
    </row>
    <row r="45" spans="1:6" x14ac:dyDescent="0.25">
      <c r="A45" s="12" t="str">
        <f>'Raw Dataset'!A3</f>
        <v>May</v>
      </c>
      <c r="B45" s="13">
        <f>'Raw Dataset'!C3</f>
        <v>19.5</v>
      </c>
      <c r="C45" s="12" t="str">
        <f t="shared" ref="C44:C55" si="4">IF(B45&lt;$B$5,"Low",IF(B45&lt;$B$6,"Medium","High"))</f>
        <v>Low</v>
      </c>
      <c r="D45" s="12" t="str">
        <f>IF(OR(B45&gt;'Descriptive Statistics'!$B$18,B45&lt;'Descriptive Statistics'!$B$17),"Potential outlier","Within fences")</f>
        <v>Within fences</v>
      </c>
    </row>
    <row r="46" spans="1:6" x14ac:dyDescent="0.25">
      <c r="A46" s="12" t="str">
        <f>'Raw Dataset'!A4</f>
        <v>Jun</v>
      </c>
      <c r="B46" s="13">
        <f>'Raw Dataset'!C4</f>
        <v>17.899999999999999</v>
      </c>
      <c r="C46" s="12" t="str">
        <f t="shared" si="4"/>
        <v>Low</v>
      </c>
      <c r="D46" s="12" t="str">
        <f>IF(OR(B46&gt;'Descriptive Statistics'!$B$18,B46&lt;'Descriptive Statistics'!$B$17),"Potential outlier","Within fences")</f>
        <v>Within fences</v>
      </c>
    </row>
    <row r="47" spans="1:6" x14ac:dyDescent="0.25">
      <c r="A47" s="12" t="str">
        <f>'Raw Dataset'!A5</f>
        <v>Jul</v>
      </c>
      <c r="B47" s="13">
        <f>'Raw Dataset'!C5</f>
        <v>20.8</v>
      </c>
      <c r="C47" s="12" t="str">
        <f t="shared" si="4"/>
        <v>Medium</v>
      </c>
      <c r="D47" s="12" t="str">
        <f>IF(OR(B47&gt;'Descriptive Statistics'!$B$18,B47&lt;'Descriptive Statistics'!$B$17),"Potential outlier","Within fences")</f>
        <v>Within fences</v>
      </c>
    </row>
    <row r="48" spans="1:6" x14ac:dyDescent="0.25">
      <c r="A48" s="12" t="str">
        <f>'Raw Dataset'!A6</f>
        <v>Aug</v>
      </c>
      <c r="B48" s="13">
        <f>'Raw Dataset'!C6</f>
        <v>21.5</v>
      </c>
      <c r="C48" s="12" t="str">
        <f t="shared" si="4"/>
        <v>Medium</v>
      </c>
      <c r="D48" s="12" t="str">
        <f>IF(OR(B48&gt;'Descriptive Statistics'!$B$18,B48&lt;'Descriptive Statistics'!$B$17),"Potential outlier","Within fences")</f>
        <v>Within fences</v>
      </c>
    </row>
    <row r="49" spans="1:4" x14ac:dyDescent="0.25">
      <c r="A49" s="12" t="str">
        <f>'Raw Dataset'!A7</f>
        <v>Sep</v>
      </c>
      <c r="B49" s="13">
        <f>'Raw Dataset'!C7</f>
        <v>23</v>
      </c>
      <c r="C49" s="12" t="str">
        <f t="shared" si="4"/>
        <v>Medium</v>
      </c>
      <c r="D49" s="12" t="str">
        <f>IF(OR(B49&gt;'Descriptive Statistics'!$B$18,B49&lt;'Descriptive Statistics'!$B$17),"Potential outlier","Within fences")</f>
        <v>Within fences</v>
      </c>
    </row>
    <row r="50" spans="1:4" x14ac:dyDescent="0.25">
      <c r="A50" s="12" t="str">
        <f>'Raw Dataset'!A8</f>
        <v>Oct</v>
      </c>
      <c r="B50" s="13">
        <f>'Raw Dataset'!C8</f>
        <v>31.5</v>
      </c>
      <c r="C50" s="12" t="str">
        <f t="shared" si="4"/>
        <v>High</v>
      </c>
      <c r="D50" s="12" t="str">
        <f>IF(OR(B50&gt;'Descriptive Statistics'!$B$18,B50&lt;'Descriptive Statistics'!$B$17),"Potential outlier","Within fences")</f>
        <v>Within fences</v>
      </c>
    </row>
    <row r="51" spans="1:4" x14ac:dyDescent="0.25">
      <c r="A51" s="12" t="str">
        <f>'Raw Dataset'!A9</f>
        <v>Nov</v>
      </c>
      <c r="B51" s="13">
        <f>'Raw Dataset'!C9</f>
        <v>44.8</v>
      </c>
      <c r="C51" s="12" t="str">
        <f t="shared" si="4"/>
        <v>High</v>
      </c>
      <c r="D51" s="12" t="str">
        <f>IF(OR(B51&gt;'Descriptive Statistics'!$B$18,B51&lt;'Descriptive Statistics'!$B$17),"Potential outlier","Within fences")</f>
        <v>Potential outlier</v>
      </c>
    </row>
    <row r="52" spans="1:4" x14ac:dyDescent="0.25">
      <c r="A52" s="12" t="str">
        <f>'Raw Dataset'!A10</f>
        <v>Dec</v>
      </c>
      <c r="B52" s="13">
        <f>'Raw Dataset'!C10</f>
        <v>27.6</v>
      </c>
      <c r="C52" s="12" t="str">
        <f t="shared" si="4"/>
        <v>Medium</v>
      </c>
      <c r="D52" s="12" t="str">
        <f>IF(OR(B52&gt;'Descriptive Statistics'!$B$18,B52&lt;'Descriptive Statistics'!$B$17),"Potential outlier","Within fences")</f>
        <v>Within fences</v>
      </c>
    </row>
    <row r="53" spans="1:4" x14ac:dyDescent="0.25">
      <c r="A53" s="12" t="str">
        <f>'Raw Dataset'!A11</f>
        <v>Jan</v>
      </c>
      <c r="B53" s="13">
        <f>'Raw Dataset'!C11</f>
        <v>22.4</v>
      </c>
      <c r="C53" s="12" t="str">
        <f t="shared" si="4"/>
        <v>Medium</v>
      </c>
      <c r="D53" s="12" t="str">
        <f>IF(OR(B53&gt;'Descriptive Statistics'!$B$18,B53&lt;'Descriptive Statistics'!$B$17),"Potential outlier","Within fences")</f>
        <v>Within fences</v>
      </c>
    </row>
    <row r="54" spans="1:4" x14ac:dyDescent="0.25">
      <c r="A54" s="12" t="str">
        <f>'Raw Dataset'!A12</f>
        <v>Feb</v>
      </c>
      <c r="B54" s="13">
        <f>'Raw Dataset'!C12</f>
        <v>21.2</v>
      </c>
      <c r="C54" s="12" t="str">
        <f t="shared" si="4"/>
        <v>Medium</v>
      </c>
      <c r="D54" s="12" t="str">
        <f>IF(OR(B54&gt;'Descriptive Statistics'!$B$18,B54&lt;'Descriptive Statistics'!$B$17),"Potential outlier","Within fences")</f>
        <v>Within fences</v>
      </c>
    </row>
    <row r="55" spans="1:4" x14ac:dyDescent="0.25">
      <c r="A55" s="12" t="str">
        <f>'Raw Dataset'!A13</f>
        <v>Mar</v>
      </c>
      <c r="B55" s="13">
        <f>'Raw Dataset'!C13</f>
        <v>24.6</v>
      </c>
      <c r="C55" s="12" t="str">
        <f t="shared" si="4"/>
        <v>Medium</v>
      </c>
      <c r="D55" s="12" t="str">
        <f>IF(OR(B55&gt;'Descriptive Statistics'!$B$18,B55&lt;'Descriptive Statistics'!$B$17),"Potential outlier","Within fences")</f>
        <v>Within fences</v>
      </c>
    </row>
  </sheetData>
  <mergeCells count="10">
    <mergeCell ref="C35:F35"/>
    <mergeCell ref="C36:F36"/>
    <mergeCell ref="C37:F37"/>
    <mergeCell ref="C38:F38"/>
    <mergeCell ref="C39:F39"/>
    <mergeCell ref="C30:F30"/>
    <mergeCell ref="C31:F31"/>
    <mergeCell ref="C32:F32"/>
    <mergeCell ref="C33:F33"/>
    <mergeCell ref="C34:F34"/>
  </mergeCells>
  <conditionalFormatting sqref="C44:C55">
    <cfRule type="cellIs" dxfId="6" priority="7" operator="equal">
      <formula>"High"</formula>
    </cfRule>
    <cfRule type="cellIs" dxfId="5" priority="8" operator="equal">
      <formula>"Low"</formula>
    </cfRule>
  </conditionalFormatting>
  <conditionalFormatting sqref="D44:D55">
    <cfRule type="cellIs" dxfId="4" priority="2" operator="equal">
      <formula>"Potential outlier"</formula>
    </cfRule>
  </conditionalFormatting>
  <conditionalFormatting sqref="F9:F12">
    <cfRule type="cellIs" dxfId="3" priority="3" operator="equal">
      <formula>"Match"</formula>
    </cfRule>
    <cfRule type="cellIs" dxfId="2" priority="4" operator="equal">
      <formula>"Differs"</formula>
    </cfRule>
  </conditionalFormatting>
  <conditionalFormatting sqref="H19:H25">
    <cfRule type="cellIs" dxfId="1" priority="5" operator="equal">
      <formula>"Match"</formula>
    </cfRule>
    <cfRule type="cellIs" dxfId="0" priority="6" operator="equal">
      <formula>"Differs"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  <pageSetUpPr fitToPage="1"/>
  </sheetPr>
  <dimension ref="A1:Q60"/>
  <sheetViews>
    <sheetView showGridLines="0" topLeftCell="A31" zoomScale="107" zoomScaleNormal="100" workbookViewId="0">
      <selection activeCell="M45" sqref="M45:N45"/>
    </sheetView>
  </sheetViews>
  <sheetFormatPr defaultColWidth="8.6640625" defaultRowHeight="13.2" x14ac:dyDescent="0.25"/>
  <cols>
    <col min="1" max="18" width="11" customWidth="1"/>
  </cols>
  <sheetData>
    <row r="1" spans="1:17" ht="19.2" customHeight="1" x14ac:dyDescent="0.25">
      <c r="A1" s="46" t="s">
        <v>180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7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2" spans="10:16" ht="13.8" x14ac:dyDescent="0.25">
      <c r="J42" s="4" t="s">
        <v>175</v>
      </c>
    </row>
    <row r="43" spans="10:16" x14ac:dyDescent="0.25">
      <c r="J43" s="1" t="s">
        <v>9</v>
      </c>
      <c r="K43" s="47" t="s">
        <v>15</v>
      </c>
      <c r="L43" s="47"/>
      <c r="M43" s="47" t="s">
        <v>18</v>
      </c>
      <c r="N43" s="47"/>
      <c r="O43" s="47" t="s">
        <v>20</v>
      </c>
      <c r="P43" s="47"/>
    </row>
    <row r="44" spans="10:16" ht="30" customHeight="1" x14ac:dyDescent="0.25">
      <c r="J44" s="10" t="s">
        <v>15</v>
      </c>
      <c r="K44" s="70">
        <f>CORREL('Raw Dataset'!$B$2:$B$13,'Raw Dataset'!$B$2:$B$13)</f>
        <v>0.99999999999999978</v>
      </c>
      <c r="L44" s="70"/>
      <c r="M44" s="70">
        <f>CORREL('Raw Dataset'!$B$2:$B$13,'Raw Dataset'!$C$2:$C$13)</f>
        <v>0.89941744436308491</v>
      </c>
      <c r="N44" s="70"/>
      <c r="O44" s="70">
        <f>CORREL('Raw Dataset'!$B$2:$B$13,'Raw Dataset'!$D$2:$D$13)</f>
        <v>0.91930272930036505</v>
      </c>
      <c r="P44" s="70"/>
    </row>
    <row r="45" spans="10:16" ht="30" customHeight="1" x14ac:dyDescent="0.25">
      <c r="J45" s="10" t="s">
        <v>18</v>
      </c>
      <c r="K45" s="70">
        <f>CORREL('Raw Dataset'!$C$2:$C$13,'Raw Dataset'!$B$2:$B$13)</f>
        <v>0.89941744436308491</v>
      </c>
      <c r="L45" s="70"/>
      <c r="M45" s="70">
        <f>CORREL('Raw Dataset'!$C$2:$C$13,'Raw Dataset'!$C$2:$C$13)</f>
        <v>1</v>
      </c>
      <c r="N45" s="70"/>
      <c r="O45" s="70">
        <f>CORREL('Raw Dataset'!$C$2:$C$13,'Raw Dataset'!$D$2:$D$13)</f>
        <v>0.99237168753985228</v>
      </c>
      <c r="P45" s="70"/>
    </row>
    <row r="46" spans="10:16" ht="30" customHeight="1" x14ac:dyDescent="0.25">
      <c r="J46" s="10" t="s">
        <v>20</v>
      </c>
      <c r="K46" s="70">
        <f>CORREL('Raw Dataset'!$D$2:$D$13,'Raw Dataset'!$B$2:$B$13)</f>
        <v>0.91930272930036505</v>
      </c>
      <c r="L46" s="70"/>
      <c r="M46" s="70">
        <f>CORREL('Raw Dataset'!$D$2:$D$13,'Raw Dataset'!$C$2:$C$13)</f>
        <v>0.99237168753985228</v>
      </c>
      <c r="N46" s="70"/>
      <c r="O46" s="70">
        <f>CORREL('Raw Dataset'!$D$2:$D$13,'Raw Dataset'!$D$2:$D$13)</f>
        <v>0.99999999999999978</v>
      </c>
      <c r="P46" s="70"/>
    </row>
    <row r="48" spans="10:16" x14ac:dyDescent="0.25">
      <c r="J48" s="3" t="s">
        <v>176</v>
      </c>
    </row>
    <row r="49" spans="10:10" x14ac:dyDescent="0.25">
      <c r="J49" s="3" t="str">
        <f>"Advertising–sales r = "&amp;TEXT(M44,"0.000")&amp;"; sales–orders r = "&amp;TEXT(O45,"0.000")&amp;". Correlation measures association only."</f>
        <v>Advertising–sales r = 0.899; sales–orders r = 0.992. Correlation measures association only.</v>
      </c>
    </row>
    <row r="60" spans="10:10" ht="43.5" customHeight="1" x14ac:dyDescent="0.25"/>
  </sheetData>
  <mergeCells count="13">
    <mergeCell ref="K45:L45"/>
    <mergeCell ref="M45:N45"/>
    <mergeCell ref="O45:P45"/>
    <mergeCell ref="K46:L46"/>
    <mergeCell ref="M46:N46"/>
    <mergeCell ref="O46:P46"/>
    <mergeCell ref="A1:Q3"/>
    <mergeCell ref="K43:L43"/>
    <mergeCell ref="M43:N43"/>
    <mergeCell ref="O43:P43"/>
    <mergeCell ref="K44:L44"/>
    <mergeCell ref="M44:N44"/>
    <mergeCell ref="O44:P44"/>
  </mergeCells>
  <conditionalFormatting sqref="K44:P46">
    <cfRule type="colorScale" priority="2">
      <colorScale>
        <cfvo type="num" val="0"/>
        <cfvo type="num" val="1"/>
        <color rgb="FFFFFFFF"/>
        <color rgb="FF5B9BD5"/>
      </colorScale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Raw Dataset</vt:lpstr>
      <vt:lpstr>Data Quality Checks</vt:lpstr>
      <vt:lpstr>Descriptive Statistics</vt:lpstr>
      <vt:lpstr>Univariate Analysis</vt:lpstr>
      <vt:lpstr>Charts and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Parvinder Pundir</cp:lastModifiedBy>
  <cp:revision>1</cp:revision>
  <dcterms:created xsi:type="dcterms:W3CDTF">2026-10-19T10:48:37Z</dcterms:created>
  <dcterms:modified xsi:type="dcterms:W3CDTF">2026-10-20T18:33:54Z</dcterms:modified>
  <dc:language>en-US</dc:language>
</cp:coreProperties>
</file>